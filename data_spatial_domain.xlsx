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tuenl.sharepoint.com/sites/BE_TUeUrbanLabs_SPO/Shared Documents/2025_Future Healthy Cities/02 Education/2025_Future Healthy Cities_Students/03 Workfolder/03.3 Group 3/Phase 2/Tool/"/>
    </mc:Choice>
  </mc:AlternateContent>
  <xr:revisionPtr revIDLastSave="32" documentId="13_ncr:1_{41A373DA-71F0-47FB-8333-7E7FB12F2F40}" xr6:coauthVersionLast="47" xr6:coauthVersionMax="47" xr10:uidLastSave="{C9E3C19C-E17A-405F-9211-5DDCFF5D4EDC}"/>
  <bookViews>
    <workbookView xWindow="-108" yWindow="-108" windowWidth="23256" windowHeight="12456" xr2:uid="{2202ABBA-85FE-47DB-8DE9-BEEE88C7F055}"/>
  </bookViews>
  <sheets>
    <sheet name="Variables" sheetId="1" r:id="rId1"/>
    <sheet name="Weights" sheetId="21" r:id="rId2"/>
    <sheet name="Indexes" sheetId="20" r:id="rId3"/>
    <sheet name="PAI" sheetId="2" r:id="rId4"/>
    <sheet name="BI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Z3" i="1"/>
  <c r="BA3" i="1"/>
  <c r="BB3" i="1"/>
  <c r="BC3" i="1"/>
  <c r="BD3" i="1"/>
  <c r="BE3" i="1"/>
  <c r="BF3" i="1"/>
  <c r="BG3" i="1"/>
  <c r="BH3" i="1"/>
  <c r="BI3" i="1"/>
  <c r="BJ3" i="1"/>
  <c r="AY4" i="1"/>
  <c r="AZ4" i="1"/>
  <c r="BA4" i="1"/>
  <c r="BB4" i="1"/>
  <c r="BC4" i="1"/>
  <c r="BD4" i="1"/>
  <c r="BE4" i="1"/>
  <c r="BF4" i="1"/>
  <c r="BG4" i="1"/>
  <c r="BH4" i="1"/>
  <c r="BI4" i="1"/>
  <c r="BJ4" i="1"/>
  <c r="AY5" i="1"/>
  <c r="AZ5" i="1"/>
  <c r="BA5" i="1"/>
  <c r="BB5" i="1"/>
  <c r="BC5" i="1"/>
  <c r="BD5" i="1"/>
  <c r="BE5" i="1"/>
  <c r="BF5" i="1"/>
  <c r="BG5" i="1"/>
  <c r="BH5" i="1"/>
  <c r="BI5" i="1"/>
  <c r="BJ5" i="1"/>
  <c r="AY6" i="1"/>
  <c r="AZ6" i="1"/>
  <c r="BA6" i="1"/>
  <c r="BB6" i="1"/>
  <c r="BC6" i="1"/>
  <c r="BD6" i="1"/>
  <c r="BE6" i="1"/>
  <c r="BF6" i="1"/>
  <c r="BG6" i="1"/>
  <c r="BH6" i="1"/>
  <c r="BI6" i="1"/>
  <c r="BJ6" i="1"/>
  <c r="AY7" i="1"/>
  <c r="AZ7" i="1"/>
  <c r="BA7" i="1"/>
  <c r="BB7" i="1"/>
  <c r="BC7" i="1"/>
  <c r="BD7" i="1"/>
  <c r="BE7" i="1"/>
  <c r="BF7" i="1"/>
  <c r="BG7" i="1"/>
  <c r="BH7" i="1"/>
  <c r="BI7" i="1"/>
  <c r="BJ7" i="1"/>
  <c r="AY8" i="1"/>
  <c r="AZ8" i="1"/>
  <c r="BA8" i="1"/>
  <c r="BB8" i="1"/>
  <c r="BC8" i="1"/>
  <c r="BD8" i="1"/>
  <c r="BE8" i="1"/>
  <c r="BF8" i="1"/>
  <c r="BG8" i="1"/>
  <c r="BH8" i="1"/>
  <c r="BI8" i="1"/>
  <c r="BJ8" i="1"/>
  <c r="AY9" i="1"/>
  <c r="AZ9" i="1"/>
  <c r="BA9" i="1"/>
  <c r="BB9" i="1"/>
  <c r="BC9" i="1"/>
  <c r="BD9" i="1"/>
  <c r="BE9" i="1"/>
  <c r="BF9" i="1"/>
  <c r="BG9" i="1"/>
  <c r="BH9" i="1"/>
  <c r="BI9" i="1"/>
  <c r="BJ9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AZ2" i="1"/>
  <c r="BA2" i="1"/>
  <c r="BB2" i="1"/>
  <c r="BC2" i="1"/>
  <c r="BD2" i="1"/>
  <c r="BE2" i="1"/>
  <c r="BF2" i="1"/>
  <c r="BG2" i="1"/>
  <c r="BH2" i="1"/>
  <c r="BI2" i="1"/>
  <c r="BJ2" i="1"/>
  <c r="AY2" i="1"/>
  <c r="C16" i="21"/>
  <c r="C17" i="21"/>
  <c r="C18" i="21"/>
  <c r="C19" i="21"/>
  <c r="C20" i="21"/>
  <c r="C15" i="21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H62" i="20"/>
  <c r="I62" i="20"/>
  <c r="H63" i="20"/>
  <c r="I63" i="20"/>
  <c r="H64" i="20"/>
  <c r="I64" i="20"/>
  <c r="H65" i="20"/>
  <c r="I65" i="20"/>
  <c r="H66" i="20"/>
  <c r="I66" i="20"/>
  <c r="H67" i="20"/>
  <c r="I67" i="20"/>
  <c r="H68" i="20"/>
  <c r="I68" i="20"/>
  <c r="H69" i="20"/>
  <c r="I69" i="20"/>
  <c r="H70" i="20"/>
  <c r="I70" i="20"/>
  <c r="H71" i="20"/>
  <c r="I71" i="20"/>
  <c r="H72" i="20"/>
  <c r="I72" i="20"/>
  <c r="J72" i="20"/>
  <c r="K72" i="20"/>
  <c r="H73" i="20"/>
  <c r="I73" i="20"/>
  <c r="H74" i="20"/>
  <c r="I74" i="20"/>
  <c r="H75" i="20"/>
  <c r="I75" i="20"/>
  <c r="H76" i="20"/>
  <c r="I76" i="20"/>
  <c r="H77" i="20"/>
  <c r="I77" i="20"/>
  <c r="H78" i="20"/>
  <c r="I78" i="20"/>
  <c r="H79" i="20"/>
  <c r="I79" i="20"/>
  <c r="H80" i="20"/>
  <c r="I80" i="20"/>
  <c r="H81" i="20"/>
  <c r="I81" i="20"/>
  <c r="H82" i="20"/>
  <c r="I82" i="20"/>
  <c r="F72" i="20"/>
  <c r="D72" i="20"/>
  <c r="J3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F25" i="20"/>
  <c r="H25" i="20"/>
  <c r="J25" i="20"/>
  <c r="F11" i="20"/>
  <c r="H11" i="20"/>
  <c r="J11" i="20"/>
  <c r="F7" i="20"/>
  <c r="H7" i="20"/>
  <c r="J7" i="20"/>
  <c r="S114" i="1"/>
  <c r="J4" i="20"/>
  <c r="J5" i="20"/>
  <c r="J6" i="20"/>
  <c r="J8" i="20"/>
  <c r="J9" i="20"/>
  <c r="J10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H4" i="20"/>
  <c r="H5" i="20"/>
  <c r="H6" i="20"/>
  <c r="H8" i="20"/>
  <c r="H9" i="20"/>
  <c r="H10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3" i="20"/>
  <c r="F4" i="20"/>
  <c r="F5" i="20"/>
  <c r="F6" i="20"/>
  <c r="F8" i="20"/>
  <c r="F9" i="20"/>
  <c r="F10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3" i="20"/>
  <c r="D113" i="20"/>
  <c r="D4" i="20"/>
  <c r="D5" i="20"/>
  <c r="D6" i="20"/>
  <c r="D8" i="20"/>
  <c r="D9" i="20"/>
  <c r="D10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3" i="20"/>
  <c r="T114" i="1"/>
  <c r="E114" i="1"/>
  <c r="F114" i="1"/>
  <c r="G114" i="1"/>
  <c r="H114" i="1"/>
  <c r="I114" i="1"/>
  <c r="J114" i="1"/>
  <c r="L114" i="1"/>
  <c r="M114" i="1"/>
  <c r="N114" i="1"/>
  <c r="O114" i="1"/>
  <c r="P114" i="1"/>
  <c r="Q114" i="1"/>
  <c r="R114" i="1"/>
  <c r="D114" i="1"/>
  <c r="K25" i="20" l="1"/>
  <c r="D25" i="20"/>
  <c r="K11" i="20"/>
  <c r="D11" i="20"/>
  <c r="D7" i="20"/>
  <c r="K7" i="20"/>
  <c r="K3" i="20"/>
  <c r="K4" i="20"/>
  <c r="K5" i="20"/>
  <c r="K6" i="20"/>
  <c r="K8" i="20"/>
  <c r="K9" i="20"/>
  <c r="K10" i="20"/>
  <c r="K13" i="20"/>
  <c r="K14" i="20"/>
  <c r="K15" i="20"/>
  <c r="K16" i="20"/>
  <c r="K17" i="20"/>
  <c r="K18" i="20"/>
  <c r="K19" i="20"/>
  <c r="K20" i="20"/>
  <c r="K21" i="20"/>
  <c r="K12" i="20"/>
  <c r="K22" i="20"/>
  <c r="K23" i="20"/>
  <c r="K24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8" i="20"/>
  <c r="K69" i="20"/>
  <c r="K70" i="20"/>
  <c r="K113" i="20"/>
  <c r="K67" i="20"/>
  <c r="K73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74" i="20"/>
  <c r="K77" i="20"/>
  <c r="K81" i="20"/>
  <c r="K71" i="20"/>
  <c r="K80" i="20"/>
  <c r="K75" i="20"/>
  <c r="K76" i="20"/>
  <c r="K79" i="20"/>
  <c r="K78" i="20"/>
</calcChain>
</file>

<file path=xl/sharedStrings.xml><?xml version="1.0" encoding="utf-8"?>
<sst xmlns="http://schemas.openxmlformats.org/spreadsheetml/2006/main" count="1266" uniqueCount="432">
  <si>
    <t>sub-neighborhood</t>
  </si>
  <si>
    <t>neighborhood</t>
  </si>
  <si>
    <t>district</t>
  </si>
  <si>
    <t>Public green</t>
  </si>
  <si>
    <t>Public green per household (m^2)</t>
  </si>
  <si>
    <t>Public water</t>
  </si>
  <si>
    <t>Hard surface</t>
  </si>
  <si>
    <t>Canopy coverage</t>
  </si>
  <si>
    <t>Shade availability</t>
  </si>
  <si>
    <t>Road nuisance</t>
  </si>
  <si>
    <t>Safety feeling</t>
  </si>
  <si>
    <t>Waste</t>
  </si>
  <si>
    <t>Cleanliness score</t>
  </si>
  <si>
    <t>Lighting satisfaction</t>
  </si>
  <si>
    <t>Youth amenity satisfaction</t>
  </si>
  <si>
    <t>Green satisfaction</t>
  </si>
  <si>
    <t>Park satisfaction</t>
  </si>
  <si>
    <t>Play opportunity</t>
  </si>
  <si>
    <t>PAI</t>
  </si>
  <si>
    <t>BI</t>
  </si>
  <si>
    <t>Intersection density drive network</t>
  </si>
  <si>
    <t>Intersection density bike network</t>
  </si>
  <si>
    <t>Intersection density walk network</t>
  </si>
  <si>
    <t>Separate bike path share</t>
  </si>
  <si>
    <t>Separate walking path share</t>
  </si>
  <si>
    <t>Low speed road share</t>
  </si>
  <si>
    <t>Traffic calming elements density</t>
  </si>
  <si>
    <t>Street lights density drive network</t>
  </si>
  <si>
    <t>Street lights density bike network</t>
  </si>
  <si>
    <t>Street light density walk network</t>
  </si>
  <si>
    <t>Tree density bike network</t>
  </si>
  <si>
    <t>Tree density walk network</t>
  </si>
  <si>
    <t>Bench density walk network</t>
  </si>
  <si>
    <t>Road area ratio</t>
  </si>
  <si>
    <t>Average road width</t>
  </si>
  <si>
    <t>Average block length</t>
  </si>
  <si>
    <t>Sum of closest distance to daily amenities</t>
  </si>
  <si>
    <t>density of cultural third places per 1000 people</t>
  </si>
  <si>
    <t>diversity of cultural third places</t>
  </si>
  <si>
    <t>accessibility of cultural third places within 1000m</t>
  </si>
  <si>
    <t>density of food third places per 1000 people</t>
  </si>
  <si>
    <t>diversity of food third places</t>
  </si>
  <si>
    <t>accessibility of food third places within 800m</t>
  </si>
  <si>
    <t>density of urban furniture per 1000 people</t>
  </si>
  <si>
    <t>diversity of urban furniture</t>
  </si>
  <si>
    <t>accessibility of urban furniture within 200m</t>
  </si>
  <si>
    <t>density of outdoor third places per 1000 people</t>
  </si>
  <si>
    <t>diversity of outdoor third places</t>
  </si>
  <si>
    <t>accessibility of outdoor third places within 500m</t>
  </si>
  <si>
    <t>2e Daalsebuurt en omgeving</t>
  </si>
  <si>
    <t>Ondiep, 2e Daalsebrt</t>
  </si>
  <si>
    <t>Noordwest</t>
  </si>
  <si>
    <t>Abstede, Tolsteegsingel e.o.</t>
  </si>
  <si>
    <t>Abstede, Gansstraat</t>
  </si>
  <si>
    <t>Oost</t>
  </si>
  <si>
    <t>Bedrijvengebied Kanaleneiland</t>
  </si>
  <si>
    <t>Kanaleneiland</t>
  </si>
  <si>
    <t>Zuidwest</t>
  </si>
  <si>
    <t>Bedrijvengebied Oudenrijn</t>
  </si>
  <si>
    <t>De Meern</t>
  </si>
  <si>
    <t>Vleuten-De Meern</t>
  </si>
  <si>
    <t>Bedrijvengebied Papendorp</t>
  </si>
  <si>
    <t>Leidsche Rijn-zuid</t>
  </si>
  <si>
    <t>Leidsche Rijn</t>
  </si>
  <si>
    <t>Bedrijvengebied Strijkviertel</t>
  </si>
  <si>
    <t>Bedrijventerrein De Wetering</t>
  </si>
  <si>
    <t>Terwijde, De Wetering</t>
  </si>
  <si>
    <t>Bedrijventerrein en omgeving</t>
  </si>
  <si>
    <t>Oud Hoograven, Tolsteeg</t>
  </si>
  <si>
    <t>Zuid</t>
  </si>
  <si>
    <t>Bedrijventerrein Lageweide</t>
  </si>
  <si>
    <t>Bleekstraat en omgeving</t>
  </si>
  <si>
    <t>Binnenstad woongebied</t>
  </si>
  <si>
    <t>Binnenstad</t>
  </si>
  <si>
    <t>Bokkenbuurt</t>
  </si>
  <si>
    <t>Nieuw Hoograven, Bokkenbrt</t>
  </si>
  <si>
    <t>Breedstraat en Plompetorengracht en omgeving</t>
  </si>
  <si>
    <t>Buiten Wittevrouwen</t>
  </si>
  <si>
    <t>Oudwijk, Buiten Wittevrouwen</t>
  </si>
  <si>
    <t>De Meern-Noord</t>
  </si>
  <si>
    <t>De Meern-Zuid</t>
  </si>
  <si>
    <t>Dichterswijk</t>
  </si>
  <si>
    <t>Dichterswijk, Rivierenwijk</t>
  </si>
  <si>
    <t>Domplein, Neude, Janskerkhof</t>
  </si>
  <si>
    <t>Binnenstad city- en winkelgeb</t>
  </si>
  <si>
    <t>Egelantierstraat, Mariëndaalstraat e.o.</t>
  </si>
  <si>
    <t>Elinkwijk en omgeving</t>
  </si>
  <si>
    <t>Zuilen-noord en -oost</t>
  </si>
  <si>
    <t>Galgenwaard en omgeving</t>
  </si>
  <si>
    <t>Geuzenwijk</t>
  </si>
  <si>
    <t>Zuilen-west</t>
  </si>
  <si>
    <t>Grauwaart</t>
  </si>
  <si>
    <t>Leidsche Rijn Centrum e.o</t>
  </si>
  <si>
    <t>Haarrijn</t>
  </si>
  <si>
    <t>Haarzuilens en omgeving</t>
  </si>
  <si>
    <t>Vleuten, Haarzuilens</t>
  </si>
  <si>
    <t>Halve Maan-Noord</t>
  </si>
  <si>
    <t>Oog in Al, Welgelegen</t>
  </si>
  <si>
    <t>West</t>
  </si>
  <si>
    <t>Halve Maan-Zuid</t>
  </si>
  <si>
    <t>Het Zand-Oost</t>
  </si>
  <si>
    <t>Het Zand</t>
  </si>
  <si>
    <t>Het Zand-West</t>
  </si>
  <si>
    <t>Hoge Weide</t>
  </si>
  <si>
    <t>Hooch Boulandt</t>
  </si>
  <si>
    <t>Hoog-Catharijne NS en Jaarbeurs</t>
  </si>
  <si>
    <t>Huizingalaan, K. Doormanlaan en omgeving</t>
  </si>
  <si>
    <t>Wittevrouwen, Zeeheldenbrt</t>
  </si>
  <si>
    <t>Noordoost</t>
  </si>
  <si>
    <t>Julianapark en omgeving</t>
  </si>
  <si>
    <t>Kanaleneiland-Noord</t>
  </si>
  <si>
    <t>Kanaleneiland-Zuid</t>
  </si>
  <si>
    <t>L. Napoleonplantsoen en omgeving</t>
  </si>
  <si>
    <t>Laan van Nieuw-Guinea, Spinozaweg e.o.</t>
  </si>
  <si>
    <t>Lombok, Leidseweg</t>
  </si>
  <si>
    <t>Lange Elisabethstraat, Mariaplaats en omgeving</t>
  </si>
  <si>
    <t>Lange Nieuwstraat en omgeving</t>
  </si>
  <si>
    <t>Langerak</t>
  </si>
  <si>
    <t>Parkwijk, Langerak</t>
  </si>
  <si>
    <t>Lauwerecht</t>
  </si>
  <si>
    <t>Votulast</t>
  </si>
  <si>
    <t>Leeuwesteyn</t>
  </si>
  <si>
    <t>Leidsche Rijn-Centrum</t>
  </si>
  <si>
    <t>Leidseweg en omgeving</t>
  </si>
  <si>
    <t>Lombok-Oost</t>
  </si>
  <si>
    <t>Lombok-West</t>
  </si>
  <si>
    <t>Lunetten-Noord</t>
  </si>
  <si>
    <t>Lunetten</t>
  </si>
  <si>
    <t>Lunetten-Zuid</t>
  </si>
  <si>
    <t>Maarschalkerweerd en Mereveld</t>
  </si>
  <si>
    <t>Máximapark</t>
  </si>
  <si>
    <t>Veldhuizen, Vleuterweide</t>
  </si>
  <si>
    <t>Neckardreef en omgeving</t>
  </si>
  <si>
    <t>Zamenhofdreef, Neckardreef</t>
  </si>
  <si>
    <t>Overvecht</t>
  </si>
  <si>
    <t>Nieuw Engeland, Th. a. Kempisplantsoen en omgeving</t>
  </si>
  <si>
    <t>Nieuw Engeland, Schepenbrt</t>
  </si>
  <si>
    <t>Nieuw Hoograven-Noord</t>
  </si>
  <si>
    <t>Nieuw Hoograven-Zuid</t>
  </si>
  <si>
    <t>Nieuwegracht-Oost</t>
  </si>
  <si>
    <t>Nijenoord, Hoogstraat en omgeving</t>
  </si>
  <si>
    <t>Pijlsweerd</t>
  </si>
  <si>
    <t>Nobelstraat en omgeving</t>
  </si>
  <si>
    <t>Ondiep</t>
  </si>
  <si>
    <t>Oog in Al</t>
  </si>
  <si>
    <t>Oud Hoograven-Noord</t>
  </si>
  <si>
    <t>Oud Hoograven-Zuid</t>
  </si>
  <si>
    <t>Oudwijk</t>
  </si>
  <si>
    <t>Parkwijk-Noord</t>
  </si>
  <si>
    <t>Parkwijk-Zuid</t>
  </si>
  <si>
    <t>Pijlsweerd-Noord</t>
  </si>
  <si>
    <t>Pijlsweerd-Zuid</t>
  </si>
  <si>
    <t>Poldergebied Overvecht</t>
  </si>
  <si>
    <t>Vechtzoom, Klopvaart</t>
  </si>
  <si>
    <t>Prins Bernhardplein en omgeving</t>
  </si>
  <si>
    <t>Queeckhovenplein en omgeving</t>
  </si>
  <si>
    <t>Rijnenburg</t>
  </si>
  <si>
    <t>Rijnsweerd</t>
  </si>
  <si>
    <t>Wilhelminapark, Rijnsweerd</t>
  </si>
  <si>
    <t>Rijnvliet</t>
  </si>
  <si>
    <t>Rivierenwijk</t>
  </si>
  <si>
    <t>Rubenslaan en omgeving</t>
  </si>
  <si>
    <t>Schaakbuurt en omgeving</t>
  </si>
  <si>
    <t>Schepenbuurt, Cartesiusweg e.o.</t>
  </si>
  <si>
    <t>Schildersbuurt</t>
  </si>
  <si>
    <t>Springweg en omgeving Geertebuurt</t>
  </si>
  <si>
    <t>Staatsliedenbuurt</t>
  </si>
  <si>
    <t>Sterrenwijk</t>
  </si>
  <si>
    <t>Taag- en Rubicondreef en omgeving</t>
  </si>
  <si>
    <t>Taagdreef, Wolgadreef</t>
  </si>
  <si>
    <t>Terwijde-Oost</t>
  </si>
  <si>
    <t>Terwijde-West</t>
  </si>
  <si>
    <t>Tigrisdreef en omgeving</t>
  </si>
  <si>
    <t>Zambesidreef, Tigrisdreef</t>
  </si>
  <si>
    <t>Tolsteeg en Rotsoord</t>
  </si>
  <si>
    <t>Transwijk-Noord</t>
  </si>
  <si>
    <t>Transwijk</t>
  </si>
  <si>
    <t>Transwijk-Zuid</t>
  </si>
  <si>
    <t>Tuindorp en Van Lieflandlaan-West</t>
  </si>
  <si>
    <t>Tuindorp, Voordorp</t>
  </si>
  <si>
    <t>Tuindorp-Oost</t>
  </si>
  <si>
    <t>Tuinwijk-Oost</t>
  </si>
  <si>
    <t>Tuinwijk-West</t>
  </si>
  <si>
    <t>Utrecht Science Park</t>
  </si>
  <si>
    <t>Vechtzoom-noord, Klopvaart</t>
  </si>
  <si>
    <t>Vechtzoom-zuid</t>
  </si>
  <si>
    <t>Veldhuizen</t>
  </si>
  <si>
    <t>Vleuten</t>
  </si>
  <si>
    <t>Vleuterweide-Noord/Oost/Centrum</t>
  </si>
  <si>
    <t>Vleuterweide-West</t>
  </si>
  <si>
    <t>Vleuterweide-Zuid</t>
  </si>
  <si>
    <t>Vogelenbuurt</t>
  </si>
  <si>
    <t>Voordorp en Voorveldsepolder</t>
  </si>
  <si>
    <t>Watervogelbuurt</t>
  </si>
  <si>
    <t>Welgelegen, Den Hommel</t>
  </si>
  <si>
    <t>Wijk C</t>
  </si>
  <si>
    <t>Wilhelminapark en omgeving</t>
  </si>
  <si>
    <t>Wittevrouwen</t>
  </si>
  <si>
    <t>Wolga- en Donaudreef en omgeving</t>
  </si>
  <si>
    <t>Zambesidreef en omgeving</t>
  </si>
  <si>
    <t>Zamenhofdreef en omgeving</t>
  </si>
  <si>
    <t>Zeeheldenbuurt, Hengeveldstraat en omgeving</t>
  </si>
  <si>
    <t>Zuilen-Noord</t>
  </si>
  <si>
    <t>mean utrecht</t>
  </si>
  <si>
    <t>weight</t>
  </si>
  <si>
    <t>Index</t>
  </si>
  <si>
    <t>Variable</t>
  </si>
  <si>
    <t>GAI</t>
  </si>
  <si>
    <t xml:space="preserve">Public green </t>
  </si>
  <si>
    <t xml:space="preserve">Public water </t>
  </si>
  <si>
    <t xml:space="preserve">Hard surface </t>
  </si>
  <si>
    <t>GAcI</t>
  </si>
  <si>
    <t>EQI</t>
  </si>
  <si>
    <t>GRI</t>
  </si>
  <si>
    <t>GEI</t>
  </si>
  <si>
    <t>Walkability</t>
  </si>
  <si>
    <t>Bikeability</t>
  </si>
  <si>
    <t>Street Comfort</t>
  </si>
  <si>
    <t>!From green space variables!</t>
  </si>
  <si>
    <t>Rest Opportunity</t>
  </si>
  <si>
    <t>Cultural third place</t>
  </si>
  <si>
    <t>Outdoor third place</t>
  </si>
  <si>
    <t>Food third place</t>
  </si>
  <si>
    <t>Urban furniture</t>
  </si>
  <si>
    <t>Indexes</t>
  </si>
  <si>
    <t>Green availability index (GAI)</t>
  </si>
  <si>
    <t>Park accessibility index (PAI)</t>
  </si>
  <si>
    <t>Green  accessibility index (GAcI)</t>
  </si>
  <si>
    <t>Biodiversity index (BI)</t>
  </si>
  <si>
    <t>Environmental quality index (EQI)</t>
  </si>
  <si>
    <t>Green risk index (GRI)</t>
  </si>
  <si>
    <t>Green experience index (GEI)</t>
  </si>
  <si>
    <t>Green space index (GSI</t>
  </si>
  <si>
    <t>Neighbourhood</t>
  </si>
  <si>
    <t>Main park</t>
  </si>
  <si>
    <t>Distance (km)</t>
  </si>
  <si>
    <t>Weight</t>
  </si>
  <si>
    <t>Visit %</t>
  </si>
  <si>
    <t>Satisfaction</t>
  </si>
  <si>
    <t>Park Accessibility Index</t>
  </si>
  <si>
    <t>Wilhelminapark</t>
  </si>
  <si>
    <t>Singel/Zocherpark/Lepelenburg</t>
  </si>
  <si>
    <t>Maximapark</t>
  </si>
  <si>
    <t>Park Transwijk</t>
  </si>
  <si>
    <t>Beatrixpark</t>
  </si>
  <si>
    <t>Park Oog in Al</t>
  </si>
  <si>
    <t>Julianapark</t>
  </si>
  <si>
    <t>Griftpark</t>
  </si>
  <si>
    <t>Park de Gagel</t>
  </si>
  <si>
    <t>Neighborhood</t>
  </si>
  <si>
    <t>District</t>
  </si>
  <si>
    <t>Total Trees</t>
  </si>
  <si>
    <t>Species Richness (S)</t>
  </si>
  <si>
    <t>Shannon Index (H')</t>
  </si>
  <si>
    <t>Evenness Score (E)</t>
  </si>
  <si>
    <t>Diversity Score (0-100)</t>
  </si>
  <si>
    <t>Richness Score (0-100)</t>
  </si>
  <si>
    <t xml:space="preserve"> Biodiversity Index (BI)</t>
  </si>
  <si>
    <t>1e Daalsebuurt</t>
  </si>
  <si>
    <t>2e Daalsebuurt</t>
  </si>
  <si>
    <t>Abstede-oost</t>
  </si>
  <si>
    <t>Abstede-west, Tolsteegsingel e.o.</t>
  </si>
  <si>
    <t>Achter 't Spoor, De Hagen</t>
  </si>
  <si>
    <t>Vleuten - De Meern</t>
  </si>
  <si>
    <t>Adenauerlaan e.o.</t>
  </si>
  <si>
    <t>Amazonedreef-noord</t>
  </si>
  <si>
    <t>Amazonedreef-zuid</t>
  </si>
  <si>
    <t>Bedrijvengebied Cartesiusdriehoek</t>
  </si>
  <si>
    <t>Bedrijvengebied De Wetering-noord</t>
  </si>
  <si>
    <t>Bedrijvengebied De Wetering-zuid</t>
  </si>
  <si>
    <t>Bedrijvengebied Overvecht</t>
  </si>
  <si>
    <t>Bedrijvengebied Werkspoorkwartier</t>
  </si>
  <si>
    <t>Bernadottelaan e.o., GWC</t>
  </si>
  <si>
    <t>Bilderdijkstraat e.o.</t>
  </si>
  <si>
    <t>Bleekstraat e.o.</t>
  </si>
  <si>
    <t>Bomenbuurt</t>
  </si>
  <si>
    <t>Brailledreef-west</t>
  </si>
  <si>
    <t>Breedstraat, Plompetorengracht e.o.</t>
  </si>
  <si>
    <t>Brennerbaan e.o.</t>
  </si>
  <si>
    <t>Buiten Wittevrouwen-noord</t>
  </si>
  <si>
    <t>Buiten Wittevrouwen-zuid</t>
  </si>
  <si>
    <t>Cambridgelaan e.o.</t>
  </si>
  <si>
    <t>De Balije</t>
  </si>
  <si>
    <t>De Boomgaarden</t>
  </si>
  <si>
    <t>De Driehoek</t>
  </si>
  <si>
    <t>De Hoven</t>
  </si>
  <si>
    <t>De Meern-oost</t>
  </si>
  <si>
    <t>De Meern-west</t>
  </si>
  <si>
    <t>De Rietvelden</t>
  </si>
  <si>
    <t>De Spore</t>
  </si>
  <si>
    <t>De Tol</t>
  </si>
  <si>
    <t>De Tuinlanden</t>
  </si>
  <si>
    <t>De Woerd</t>
  </si>
  <si>
    <t>Demkagebied</t>
  </si>
  <si>
    <t>Den Hommel</t>
  </si>
  <si>
    <t>Dichterswijk-oost</t>
  </si>
  <si>
    <t>Dichterswijk-west, Stadshaven</t>
  </si>
  <si>
    <t>Domplein, Neude, Janskerkhof e.o.</t>
  </si>
  <si>
    <t>Donaudreef e.o.</t>
  </si>
  <si>
    <t>Edisonstraat e.o.</t>
  </si>
  <si>
    <t>Egelantierstraat e.o.</t>
  </si>
  <si>
    <t>Elinkwijk</t>
  </si>
  <si>
    <t>Energiecentrale e.o.</t>
  </si>
  <si>
    <t>Esdoornstraat e.o.</t>
  </si>
  <si>
    <t>Europalaan-noord</t>
  </si>
  <si>
    <t>Fermiweg e.o.</t>
  </si>
  <si>
    <t>Fockema Andreaelaan e.o.</t>
  </si>
  <si>
    <t>Fruitbuurt</t>
  </si>
  <si>
    <t>Furkabaan e.o.</t>
  </si>
  <si>
    <t>Galgenwaard e.o.</t>
  </si>
  <si>
    <t>Geertebuurt</t>
  </si>
  <si>
    <t>Groeneweg-oost</t>
  </si>
  <si>
    <t>Groeneweg-west</t>
  </si>
  <si>
    <t>Haarzuilens e.o.</t>
  </si>
  <si>
    <t>Halve Maan-noord</t>
  </si>
  <si>
    <t>Halve Maan-zuid</t>
  </si>
  <si>
    <t>Harpstraat e.o.</t>
  </si>
  <si>
    <t>Havengebied</t>
  </si>
  <si>
    <t>Hengeveldstraat e.o.</t>
  </si>
  <si>
    <t>Herenweg e.o.</t>
  </si>
  <si>
    <t>Het Zand-oost</t>
  </si>
  <si>
    <t>Het Zand-west</t>
  </si>
  <si>
    <t>Hinderstein, Alenvelt</t>
  </si>
  <si>
    <t>Hoog Catharijne, Leidseveer, NS</t>
  </si>
  <si>
    <t>Hoogstraat e.o.</t>
  </si>
  <si>
    <t>Huizingalaan, K.Doormanlaan e.o.</t>
  </si>
  <si>
    <t>Isotopenweg, Sophialaan e.o.</t>
  </si>
  <si>
    <t>J.P. Coenstraat-oost</t>
  </si>
  <si>
    <t>J.P. Coenstraat-west</t>
  </si>
  <si>
    <t>Jaarbeurs e.o.</t>
  </si>
  <si>
    <t>Johan Uitenbogaertstraat e.o.</t>
  </si>
  <si>
    <t>Kaap Hoorndreef e.o.</t>
  </si>
  <si>
    <t>Kaatstraat e.o.</t>
  </si>
  <si>
    <t>Kantorengebied Kanaleneiland-zuid</t>
  </si>
  <si>
    <t>Klopvaart Gagelzijde</t>
  </si>
  <si>
    <t>Klopvaart Vechtzijde</t>
  </si>
  <si>
    <t>Kwangodreef e.o.</t>
  </si>
  <si>
    <t>Landgoederen</t>
  </si>
  <si>
    <t>Lange Elisabethstraat, Mariaplaats e.o.</t>
  </si>
  <si>
    <t>Lange Nieuwstraat-noord</t>
  </si>
  <si>
    <t>Lange Nieuwstraat-zuid</t>
  </si>
  <si>
    <t>Langerak-Oost</t>
  </si>
  <si>
    <t>Langerak-west</t>
  </si>
  <si>
    <t>Lauwerecht-noord</t>
  </si>
  <si>
    <t>Lauwerecht-zuid</t>
  </si>
  <si>
    <t>Leidsche Rijn Centrum</t>
  </si>
  <si>
    <t>Leidseweg e.o.</t>
  </si>
  <si>
    <t>Leuvenlaan e.o.</t>
  </si>
  <si>
    <t>Lodewijk Napoleonplantsoen e.o.</t>
  </si>
  <si>
    <t>Lombok-oost</t>
  </si>
  <si>
    <t>MÃ¡ximapark Binnenhof</t>
  </si>
  <si>
    <t>MÃ¡ximapark Noord</t>
  </si>
  <si>
    <t>MÃ¡ximapark Zuid</t>
  </si>
  <si>
    <t>Maarschalkerweerd, Mereveld</t>
  </si>
  <si>
    <t>Majellapark e.o.</t>
  </si>
  <si>
    <t>Marco Pololaan e.o.</t>
  </si>
  <si>
    <t>MariÃ«ndaalstraat e.o.</t>
  </si>
  <si>
    <t>Mesdagstraat e.o.</t>
  </si>
  <si>
    <t>Neckardreef-noord</t>
  </si>
  <si>
    <t>Neckardreef-zuid</t>
  </si>
  <si>
    <t>Nieuw Hoograven-noord</t>
  </si>
  <si>
    <t>Nieuw Hoograven-zuid</t>
  </si>
  <si>
    <t>Nieuw Welgelegen</t>
  </si>
  <si>
    <t>Nieuwe Vaart, Odenvelt</t>
  </si>
  <si>
    <t>Nieuwegracht-oost</t>
  </si>
  <si>
    <t>Nijenoord e.o.</t>
  </si>
  <si>
    <t>Nijldreef e.o.</t>
  </si>
  <si>
    <t>Nobelstraat e.o.</t>
  </si>
  <si>
    <t>Noordse Park e.o.</t>
  </si>
  <si>
    <t>Olympus e.o.</t>
  </si>
  <si>
    <t>Oud Hoograven-noord</t>
  </si>
  <si>
    <t>Oud Hoograven-zuid</t>
  </si>
  <si>
    <t>Oudwijk-noord</t>
  </si>
  <si>
    <t>Oudwijk-zuid</t>
  </si>
  <si>
    <t>Overste den Oudenlaan-oost</t>
  </si>
  <si>
    <t>Park Transwijk e.o.</t>
  </si>
  <si>
    <t>Parkrand De Meern</t>
  </si>
  <si>
    <t>Parkweg-zuid</t>
  </si>
  <si>
    <t>Parkwijk-noord</t>
  </si>
  <si>
    <t>Parkwijk-zuid</t>
  </si>
  <si>
    <t>Prins Bernhardplein e.o.</t>
  </si>
  <si>
    <t>Prinses Beatrixlaan e.o.</t>
  </si>
  <si>
    <t>Queeckhovenplein e.o.</t>
  </si>
  <si>
    <t>Reijerscop</t>
  </si>
  <si>
    <t>Rijnsweerd-noord</t>
  </si>
  <si>
    <t>Rijnsweerd-zuid</t>
  </si>
  <si>
    <t>Rivierenwijk-midden</t>
  </si>
  <si>
    <t>Rivierenwijk-noord</t>
  </si>
  <si>
    <t>Rivierenwijk-zuid</t>
  </si>
  <si>
    <t>Rotsoord</t>
  </si>
  <si>
    <t>Rubicondreef e.o.</t>
  </si>
  <si>
    <t>Savannahweg, Kobaltweg e.o.</t>
  </si>
  <si>
    <t>Schaakbuurt</t>
  </si>
  <si>
    <t>Schaepmanplein e.o.</t>
  </si>
  <si>
    <t>Schepenbuurt</t>
  </si>
  <si>
    <t>Simplonbaan e.o.</t>
  </si>
  <si>
    <t>Spinozaplantsoen e.o.</t>
  </si>
  <si>
    <t>Springweg e.o.</t>
  </si>
  <si>
    <t>'t Weer</t>
  </si>
  <si>
    <t>Taagdreef e.o.</t>
  </si>
  <si>
    <t>Terwijde-oost</t>
  </si>
  <si>
    <t>Terwijde-west</t>
  </si>
  <si>
    <t>Th.Ã  Kempisplantsoen e.o.</t>
  </si>
  <si>
    <t>Tigrisdreef-oost</t>
  </si>
  <si>
    <t>Tigrisdreef-west</t>
  </si>
  <si>
    <t>Tolsteeg</t>
  </si>
  <si>
    <t>Tuindorp</t>
  </si>
  <si>
    <t>Tuindorp-oost</t>
  </si>
  <si>
    <t>Tuinwijk-oost</t>
  </si>
  <si>
    <t>Tuinwijk-west</t>
  </si>
  <si>
    <t>UMC e.o.</t>
  </si>
  <si>
    <t>Van Bijnkershoeklaan e.o.</t>
  </si>
  <si>
    <t>Van Lieflandlaan e.o.</t>
  </si>
  <si>
    <t>Vasco da Gamalaan e.o.</t>
  </si>
  <si>
    <t>Veldhuizen-noord</t>
  </si>
  <si>
    <t>Veldhuizen-zuid</t>
  </si>
  <si>
    <t>Vleuterweide-centrum</t>
  </si>
  <si>
    <t>Voordorp</t>
  </si>
  <si>
    <t>Voorveldsepolder</t>
  </si>
  <si>
    <t>Wageningseberg e.o.</t>
  </si>
  <si>
    <t>Welgelegen</t>
  </si>
  <si>
    <t>Westraven</t>
  </si>
  <si>
    <t>Wijk C-oost</t>
  </si>
  <si>
    <t>Wijk C-west</t>
  </si>
  <si>
    <t>Wilhelminapark e.o.</t>
  </si>
  <si>
    <t>Wolgadreef e.o.</t>
  </si>
  <si>
    <t>Woonboulevard Kanaleneiland-zuid</t>
  </si>
  <si>
    <t>Zamenhofdreef-oost</t>
  </si>
  <si>
    <t>Zamenhofdreef-west, GWC</t>
  </si>
  <si>
    <t>Zeeheldenbuurt</t>
  </si>
  <si>
    <t>Zonnebaan, Sterrebaan e.o.</t>
  </si>
  <si>
    <t>Zuilen-noord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</si>
</sst>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"/>
    <numFmt numFmtId="168" formatCode="0.000"/>
    <numFmt numFmtId="169" formatCode="_(* #,##0.0000_);_(* \(#,##0.0000\);_(* &quot;-&quot;??_);_(@_)"/>
    <numFmt numFmtId="170" formatCode="_(* #,##0.0000_);_(* \(#,##0.0000\);_(* &quot;-&quot;??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555555"/>
      <name val="Segoe UI"/>
      <family val="2"/>
    </font>
    <font>
      <sz val="10"/>
      <color rgb="FF333333"/>
      <name val="Segoe UI"/>
      <family val="2"/>
    </font>
    <font>
      <sz val="10"/>
      <color rgb="FF1F1F1F"/>
      <name val="Arial"/>
      <family val="2"/>
    </font>
    <font>
      <sz val="10"/>
      <name val="Arial"/>
      <family val="2"/>
    </font>
    <font>
      <sz val="11"/>
      <color rgb="FF333333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medium">
        <color rgb="FFDCDCDC"/>
      </left>
      <right style="medium">
        <color theme="2" tint="-9.9978637043366805E-2"/>
      </right>
      <top style="medium">
        <color rgb="FFDCDCDC"/>
      </top>
      <bottom style="medium">
        <color rgb="FFDCDCDC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DCDCDC"/>
      </left>
      <right/>
      <top style="medium">
        <color rgb="FFDCDCDC"/>
      </top>
      <bottom style="medium">
        <color rgb="FFDCDCD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/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1"/>
      </bottom>
      <diagonal/>
    </border>
    <border>
      <left style="medium">
        <color rgb="FFDCDCDC"/>
      </left>
      <right style="medium">
        <color theme="2" tint="-9.9978637043366805E-2"/>
      </right>
      <top/>
      <bottom style="medium">
        <color rgb="FFDCDCDC"/>
      </bottom>
      <diagonal/>
    </border>
    <border>
      <left/>
      <right style="medium">
        <color theme="2" tint="-9.9978637043366805E-2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 style="medium">
        <color theme="1"/>
      </bottom>
      <diagonal/>
    </border>
    <border>
      <left style="medium">
        <color theme="2" tint="-9.9978637043366805E-2"/>
      </left>
      <right style="thick">
        <color theme="1"/>
      </right>
      <top style="medium">
        <color theme="1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/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thick">
        <color theme="1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wrapText="1"/>
    </xf>
    <xf numFmtId="167" fontId="0" fillId="0" borderId="0" xfId="0" applyNumberFormat="1"/>
    <xf numFmtId="0" fontId="2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vertical="center" readingOrder="1"/>
    </xf>
    <xf numFmtId="0" fontId="5" fillId="5" borderId="4" xfId="0" applyFont="1" applyFill="1" applyBorder="1" applyAlignment="1">
      <alignment horizontal="left" vertical="center" readingOrder="1"/>
    </xf>
    <xf numFmtId="167" fontId="0" fillId="0" borderId="4" xfId="0" applyNumberFormat="1" applyBorder="1"/>
    <xf numFmtId="165" fontId="0" fillId="0" borderId="4" xfId="1" applyNumberFormat="1" applyFont="1" applyBorder="1"/>
    <xf numFmtId="165" fontId="7" fillId="0" borderId="4" xfId="0" applyNumberFormat="1" applyFont="1" applyBorder="1" applyAlignment="1">
      <alignment wrapText="1"/>
    </xf>
    <xf numFmtId="0" fontId="0" fillId="0" borderId="4" xfId="0" applyBorder="1"/>
    <xf numFmtId="0" fontId="7" fillId="0" borderId="4" xfId="0" applyFont="1" applyBorder="1" applyAlignment="1">
      <alignment vertical="center" wrapText="1"/>
    </xf>
    <xf numFmtId="166" fontId="0" fillId="0" borderId="4" xfId="1" applyNumberFormat="1" applyFont="1" applyBorder="1"/>
    <xf numFmtId="166" fontId="9" fillId="0" borderId="4" xfId="1" applyNumberFormat="1" applyFont="1" applyBorder="1"/>
    <xf numFmtId="0" fontId="5" fillId="0" borderId="4" xfId="0" applyFont="1" applyBorder="1" applyAlignment="1">
      <alignment horizontal="left" vertical="center" readingOrder="1"/>
    </xf>
    <xf numFmtId="166" fontId="0" fillId="0" borderId="4" xfId="1" applyNumberFormat="1" applyFont="1" applyBorder="1" applyAlignment="1">
      <alignment horizontal="right"/>
    </xf>
    <xf numFmtId="0" fontId="6" fillId="5" borderId="4" xfId="0" applyFont="1" applyFill="1" applyBorder="1"/>
    <xf numFmtId="0" fontId="6" fillId="0" borderId="4" xfId="0" applyFont="1" applyBorder="1"/>
    <xf numFmtId="165" fontId="8" fillId="0" borderId="4" xfId="0" applyNumberFormat="1" applyFont="1" applyBorder="1" applyAlignment="1">
      <alignment wrapText="1"/>
    </xf>
    <xf numFmtId="166" fontId="0" fillId="0" borderId="7" xfId="1" applyNumberFormat="1" applyFont="1" applyBorder="1"/>
    <xf numFmtId="167" fontId="0" fillId="0" borderId="6" xfId="0" applyNumberFormat="1" applyBorder="1"/>
    <xf numFmtId="165" fontId="0" fillId="0" borderId="6" xfId="1" applyNumberFormat="1" applyFont="1" applyBorder="1"/>
    <xf numFmtId="165" fontId="7" fillId="0" borderId="6" xfId="0" applyNumberFormat="1" applyFont="1" applyBorder="1" applyAlignment="1">
      <alignment wrapText="1"/>
    </xf>
    <xf numFmtId="0" fontId="0" fillId="0" borderId="6" xfId="0" applyBorder="1"/>
    <xf numFmtId="0" fontId="7" fillId="0" borderId="6" xfId="0" applyFont="1" applyBorder="1" applyAlignment="1">
      <alignment vertical="center" wrapText="1"/>
    </xf>
    <xf numFmtId="166" fontId="0" fillId="0" borderId="6" xfId="1" applyNumberFormat="1" applyFont="1" applyBorder="1"/>
    <xf numFmtId="166" fontId="9" fillId="0" borderId="6" xfId="1" applyNumberFormat="1" applyFont="1" applyBorder="1"/>
    <xf numFmtId="166" fontId="0" fillId="0" borderId="8" xfId="1" applyNumberFormat="1" applyFont="1" applyBorder="1"/>
    <xf numFmtId="0" fontId="4" fillId="4" borderId="10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167" fontId="0" fillId="0" borderId="14" xfId="0" applyNumberFormat="1" applyBorder="1"/>
    <xf numFmtId="167" fontId="0" fillId="0" borderId="15" xfId="0" applyNumberFormat="1" applyBorder="1"/>
    <xf numFmtId="0" fontId="5" fillId="5" borderId="13" xfId="0" applyFont="1" applyFill="1" applyBorder="1" applyAlignment="1">
      <alignment horizontal="left" vertical="center" readingOrder="1"/>
    </xf>
    <xf numFmtId="0" fontId="5" fillId="0" borderId="16" xfId="0" applyFont="1" applyBorder="1" applyAlignment="1">
      <alignment horizontal="left" vertical="center" readingOrder="1"/>
    </xf>
    <xf numFmtId="0" fontId="5" fillId="5" borderId="16" xfId="0" applyFont="1" applyFill="1" applyBorder="1" applyAlignment="1">
      <alignment horizontal="left" vertical="center" readingOrder="1"/>
    </xf>
    <xf numFmtId="2" fontId="0" fillId="0" borderId="0" xfId="0" applyNumberFormat="1"/>
    <xf numFmtId="168" fontId="0" fillId="0" borderId="4" xfId="0" applyNumberFormat="1" applyBorder="1"/>
    <xf numFmtId="165" fontId="0" fillId="0" borderId="6" xfId="0" applyNumberFormat="1" applyBorder="1"/>
    <xf numFmtId="165" fontId="0" fillId="0" borderId="4" xfId="0" applyNumberFormat="1" applyBorder="1"/>
    <xf numFmtId="0" fontId="2" fillId="2" borderId="9" xfId="0" applyFont="1" applyFill="1" applyBorder="1" applyAlignment="1">
      <alignment wrapText="1"/>
    </xf>
    <xf numFmtId="0" fontId="2" fillId="6" borderId="0" xfId="0" applyFont="1" applyFill="1" applyAlignment="1">
      <alignment wrapText="1"/>
    </xf>
    <xf numFmtId="0" fontId="2" fillId="6" borderId="9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2" borderId="1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4" fillId="4" borderId="10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10" fillId="2" borderId="17" xfId="0" applyFont="1" applyFill="1" applyBorder="1"/>
    <xf numFmtId="0" fontId="10" fillId="2" borderId="18" xfId="0" applyFont="1" applyFill="1" applyBorder="1" applyAlignment="1">
      <alignment wrapText="1"/>
    </xf>
    <xf numFmtId="0" fontId="10" fillId="2" borderId="17" xfId="0" applyFont="1" applyFill="1" applyBorder="1" applyAlignment="1">
      <alignment wrapText="1"/>
    </xf>
    <xf numFmtId="0" fontId="10" fillId="0" borderId="17" xfId="0" applyFont="1" applyBorder="1" applyAlignment="1">
      <alignment wrapText="1"/>
    </xf>
    <xf numFmtId="0" fontId="10" fillId="0" borderId="18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2" fillId="7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10" fillId="8" borderId="17" xfId="0" applyFont="1" applyFill="1" applyBorder="1" applyAlignment="1">
      <alignment horizontal="center" vertical="center" wrapText="1"/>
    </xf>
    <xf numFmtId="169" fontId="11" fillId="0" borderId="0" xfId="0" applyNumberFormat="1" applyFont="1"/>
    <xf numFmtId="170" fontId="0" fillId="0" borderId="0" xfId="0" applyNumberFormat="1"/>
  </cellXfs>
  <cellStyles count="3">
    <cellStyle name="Komma" xfId="1" builtinId="3"/>
    <cellStyle name="Normal 2" xfId="2" xr:uid="{25A3B1FA-8B53-4512-AFE1-B3037883C804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DFC1-6650-42AB-8369-398B286A714B}">
  <dimension ref="A1:BJ119"/>
  <sheetViews>
    <sheetView tabSelected="1" topLeftCell="AD90" zoomScale="70" zoomScaleNormal="55" workbookViewId="0">
      <selection activeCell="AY2" sqref="AY2:BJ112"/>
    </sheetView>
  </sheetViews>
  <sheetFormatPr defaultRowHeight="13.9"/>
  <cols>
    <col min="1" max="1" width="34.42578125" customWidth="1"/>
    <col min="2" max="2" width="28.28515625" customWidth="1"/>
    <col min="3" max="4" width="20" customWidth="1"/>
    <col min="5" max="5" width="21.7109375" customWidth="1"/>
    <col min="6" max="6" width="18.140625" customWidth="1"/>
    <col min="7" max="7" width="20.7109375" customWidth="1"/>
    <col min="8" max="8" width="17.140625" customWidth="1"/>
    <col min="9" max="9" width="16.28515625" customWidth="1"/>
    <col min="10" max="10" width="16.140625" customWidth="1"/>
    <col min="11" max="11" width="14.7109375" customWidth="1"/>
    <col min="12" max="12" width="12.5703125" customWidth="1"/>
    <col min="13" max="13" width="12.7109375" customWidth="1"/>
    <col min="14" max="14" width="18.85546875" customWidth="1"/>
    <col min="15" max="15" width="15.140625" customWidth="1"/>
    <col min="16" max="16" width="12.85546875" customWidth="1"/>
    <col min="17" max="17" width="12.42578125" customWidth="1"/>
    <col min="18" max="18" width="12.140625" customWidth="1"/>
    <col min="19" max="19" width="18.85546875" customWidth="1"/>
    <col min="20" max="20" width="17.85546875" customWidth="1"/>
    <col min="21" max="21" width="26.140625" customWidth="1"/>
    <col min="22" max="22" width="16.85546875" customWidth="1"/>
    <col min="23" max="23" width="22.140625" customWidth="1"/>
    <col min="24" max="24" width="22.28515625" customWidth="1"/>
    <col min="25" max="25" width="19.42578125" customWidth="1"/>
    <col min="26" max="26" width="18.42578125" customWidth="1"/>
    <col min="27" max="27" width="14.5703125" customWidth="1"/>
    <col min="28" max="28" width="16.28515625" customWidth="1"/>
    <col min="29" max="29" width="17.140625" customWidth="1"/>
    <col min="30" max="30" width="17.5703125" customWidth="1"/>
    <col min="31" max="31" width="16.5703125" customWidth="1"/>
    <col min="32" max="33" width="19.140625" customWidth="1"/>
    <col min="34" max="34" width="15.7109375" customWidth="1"/>
    <col min="35" max="35" width="14.140625" customWidth="1"/>
    <col min="36" max="36" width="10.5703125" customWidth="1"/>
    <col min="37" max="37" width="17.85546875" customWidth="1"/>
    <col min="38" max="38" width="17.42578125" customWidth="1"/>
    <col min="39" max="39" width="14.42578125" customWidth="1"/>
    <col min="40" max="40" width="19.7109375" customWidth="1"/>
    <col min="41" max="41" width="15.28515625" customWidth="1"/>
    <col min="42" max="42" width="15.42578125" customWidth="1"/>
    <col min="43" max="43" width="13" customWidth="1"/>
    <col min="44" max="44" width="14.5703125" customWidth="1"/>
    <col min="45" max="45" width="13.42578125" bestFit="1" customWidth="1"/>
    <col min="46" max="46" width="13" customWidth="1"/>
    <col min="47" max="47" width="13.85546875" customWidth="1"/>
    <col min="48" max="48" width="17.7109375" customWidth="1"/>
    <col min="49" max="49" width="18.28515625" customWidth="1"/>
    <col min="50" max="50" width="14.85546875" customWidth="1"/>
  </cols>
  <sheetData>
    <row r="1" spans="1:62" ht="58.15" thickBot="1">
      <c r="A1" s="33" t="s">
        <v>0</v>
      </c>
      <c r="B1" s="1" t="s">
        <v>1</v>
      </c>
      <c r="C1" s="3" t="s">
        <v>2</v>
      </c>
      <c r="D1" s="4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2" t="s">
        <v>17</v>
      </c>
      <c r="S1" s="43" t="s">
        <v>18</v>
      </c>
      <c r="T1" s="43" t="s">
        <v>19</v>
      </c>
      <c r="U1" s="58" t="s">
        <v>20</v>
      </c>
      <c r="V1" s="56" t="s">
        <v>21</v>
      </c>
      <c r="W1" s="56" t="s">
        <v>22</v>
      </c>
      <c r="X1" s="56" t="s">
        <v>23</v>
      </c>
      <c r="Y1" s="56" t="s">
        <v>24</v>
      </c>
      <c r="Z1" s="57" t="s">
        <v>25</v>
      </c>
      <c r="AA1" s="56" t="s">
        <v>26</v>
      </c>
      <c r="AB1" s="59" t="s">
        <v>27</v>
      </c>
      <c r="AC1" s="59" t="s">
        <v>28</v>
      </c>
      <c r="AD1" s="57" t="s">
        <v>29</v>
      </c>
      <c r="AE1" s="59" t="s">
        <v>30</v>
      </c>
      <c r="AF1" s="57" t="s">
        <v>31</v>
      </c>
      <c r="AG1" s="55" t="s">
        <v>32</v>
      </c>
      <c r="AH1" s="58" t="s">
        <v>33</v>
      </c>
      <c r="AI1" s="57" t="s">
        <v>34</v>
      </c>
      <c r="AJ1" s="56" t="s">
        <v>35</v>
      </c>
      <c r="AK1" s="56" t="s">
        <v>36</v>
      </c>
      <c r="AL1" s="64" t="s">
        <v>37</v>
      </c>
      <c r="AM1" s="64" t="s">
        <v>38</v>
      </c>
      <c r="AN1" s="64" t="s">
        <v>39</v>
      </c>
      <c r="AO1" s="64" t="s">
        <v>40</v>
      </c>
      <c r="AP1" s="64" t="s">
        <v>41</v>
      </c>
      <c r="AQ1" s="64" t="s">
        <v>42</v>
      </c>
      <c r="AR1" s="64" t="s">
        <v>43</v>
      </c>
      <c r="AS1" s="64" t="s">
        <v>44</v>
      </c>
      <c r="AT1" s="64" t="s">
        <v>45</v>
      </c>
      <c r="AU1" s="64" t="s">
        <v>46</v>
      </c>
      <c r="AV1" s="64" t="s">
        <v>47</v>
      </c>
      <c r="AW1" s="64" t="s">
        <v>48</v>
      </c>
    </row>
    <row r="2" spans="1:62" ht="15.6" thickBot="1">
      <c r="A2" s="31" t="s">
        <v>49</v>
      </c>
      <c r="B2" s="8" t="s">
        <v>50</v>
      </c>
      <c r="C2" s="36" t="s">
        <v>51</v>
      </c>
      <c r="D2" s="34">
        <v>30.256410256410255</v>
      </c>
      <c r="E2" s="23">
        <v>23.8</v>
      </c>
      <c r="F2" s="23">
        <v>6.666666666666667</v>
      </c>
      <c r="G2" s="23">
        <v>63.076923076923073</v>
      </c>
      <c r="H2" s="24">
        <v>72.235716666666676</v>
      </c>
      <c r="I2" s="25">
        <v>30</v>
      </c>
      <c r="J2" s="27">
        <v>11.1</v>
      </c>
      <c r="K2" s="27">
        <v>96</v>
      </c>
      <c r="L2" s="28">
        <v>61</v>
      </c>
      <c r="M2" s="26">
        <v>56</v>
      </c>
      <c r="N2" s="28">
        <v>77</v>
      </c>
      <c r="O2" s="29">
        <v>21</v>
      </c>
      <c r="P2" s="28">
        <v>55.000000000000007</v>
      </c>
      <c r="Q2" s="28">
        <v>55.000000000000007</v>
      </c>
      <c r="R2" s="30">
        <v>54</v>
      </c>
      <c r="S2" s="23">
        <v>81</v>
      </c>
      <c r="T2" s="41">
        <v>52.567291944159948</v>
      </c>
      <c r="U2" s="65">
        <v>0.31681300000000001</v>
      </c>
      <c r="V2" s="65">
        <v>0.28031800000000001</v>
      </c>
      <c r="W2" s="65">
        <v>0.32282100000000002</v>
      </c>
      <c r="X2" s="65">
        <v>0.80436700000000005</v>
      </c>
      <c r="Y2" s="65">
        <v>0.92872699999999997</v>
      </c>
      <c r="Z2" s="65">
        <v>0.82818999999999998</v>
      </c>
      <c r="AA2" s="65">
        <v>0.42771700000000001</v>
      </c>
      <c r="AB2" s="65">
        <v>0.59187100000000004</v>
      </c>
      <c r="AC2" s="65">
        <v>0.43080400000000002</v>
      </c>
      <c r="AD2" s="65">
        <v>0.14494699999999999</v>
      </c>
      <c r="AE2" s="65">
        <v>0.26478299999999999</v>
      </c>
      <c r="AF2" s="65">
        <v>7.3636999999999994E-2</v>
      </c>
      <c r="AG2" s="65">
        <v>4.3908000000000003E-2</v>
      </c>
      <c r="AH2" s="65">
        <v>0.28453299999999998</v>
      </c>
      <c r="AI2" s="65">
        <v>0.91572900000000002</v>
      </c>
      <c r="AJ2" s="65">
        <v>0.274204</v>
      </c>
      <c r="AK2" s="65">
        <v>0.46523399999999998</v>
      </c>
      <c r="AL2">
        <v>6.30517023959647E-3</v>
      </c>
      <c r="AM2">
        <v>0.33648909187168552</v>
      </c>
      <c r="AN2">
        <v>0.4356882271741272</v>
      </c>
      <c r="AO2">
        <v>2.6902059688944939E-3</v>
      </c>
      <c r="AP2">
        <v>0.25236681890376411</v>
      </c>
      <c r="AQ2">
        <v>5.3212954683926922E-2</v>
      </c>
      <c r="AR2">
        <v>3.2282471626733932E-4</v>
      </c>
      <c r="AS2">
        <v>0.13123196821223479</v>
      </c>
      <c r="AT2">
        <v>0.17730928588837441</v>
      </c>
      <c r="AU2">
        <v>0</v>
      </c>
      <c r="AV2">
        <v>0</v>
      </c>
      <c r="AW2">
        <v>3.3846316568829672E-2</v>
      </c>
      <c r="AX2" s="66"/>
      <c r="AY2">
        <f>100*AL2</f>
        <v>0.63051702395964704</v>
      </c>
      <c r="AZ2">
        <f t="shared" ref="AZ2:BJ2" si="0">100*AM2</f>
        <v>33.648909187168549</v>
      </c>
      <c r="BA2">
        <f t="shared" si="0"/>
        <v>43.568822717412722</v>
      </c>
      <c r="BB2">
        <f t="shared" si="0"/>
        <v>0.2690205968894494</v>
      </c>
      <c r="BC2">
        <f t="shared" si="0"/>
        <v>25.23668189037641</v>
      </c>
      <c r="BD2">
        <f t="shared" si="0"/>
        <v>5.3212954683926919</v>
      </c>
      <c r="BE2">
        <f t="shared" si="0"/>
        <v>3.2282471626733929E-2</v>
      </c>
      <c r="BF2">
        <f t="shared" si="0"/>
        <v>13.123196821223479</v>
      </c>
      <c r="BG2">
        <f t="shared" si="0"/>
        <v>17.73092858883744</v>
      </c>
      <c r="BH2">
        <f t="shared" si="0"/>
        <v>0</v>
      </c>
      <c r="BI2">
        <f t="shared" si="0"/>
        <v>0</v>
      </c>
      <c r="BJ2">
        <f t="shared" si="0"/>
        <v>3.3846316568829673</v>
      </c>
    </row>
    <row r="3" spans="1:62" ht="15.6" thickBot="1">
      <c r="A3" s="4" t="s">
        <v>52</v>
      </c>
      <c r="B3" s="17" t="s">
        <v>53</v>
      </c>
      <c r="C3" s="37" t="s">
        <v>54</v>
      </c>
      <c r="D3" s="35">
        <v>35.483870967741936</v>
      </c>
      <c r="E3" s="10">
        <v>49.5</v>
      </c>
      <c r="F3" s="10">
        <v>17.419354838709676</v>
      </c>
      <c r="G3" s="10">
        <v>47.096774193548384</v>
      </c>
      <c r="H3" s="11">
        <v>16.479492857142858</v>
      </c>
      <c r="I3" s="12">
        <v>40.9</v>
      </c>
      <c r="J3" s="14">
        <v>7.8</v>
      </c>
      <c r="K3" s="27">
        <v>97</v>
      </c>
      <c r="L3" s="15">
        <v>38</v>
      </c>
      <c r="M3" s="18">
        <v>67</v>
      </c>
      <c r="N3" s="15">
        <v>84</v>
      </c>
      <c r="O3" s="16">
        <v>31</v>
      </c>
      <c r="P3" s="15">
        <v>74</v>
      </c>
      <c r="Q3" s="15">
        <v>78</v>
      </c>
      <c r="R3" s="22">
        <v>62</v>
      </c>
      <c r="S3" s="23">
        <v>79</v>
      </c>
      <c r="T3" s="42">
        <v>71.393780167540143</v>
      </c>
      <c r="U3" s="65">
        <v>0.29522399999999999</v>
      </c>
      <c r="V3" s="65">
        <v>0.23252700000000001</v>
      </c>
      <c r="W3" s="65">
        <v>0.44702199999999997</v>
      </c>
      <c r="X3" s="65">
        <v>0.69522899999999999</v>
      </c>
      <c r="Y3" s="65">
        <v>0.92572299999999996</v>
      </c>
      <c r="Z3" s="65">
        <v>0.92722899999999997</v>
      </c>
      <c r="AA3" s="65">
        <v>0.47131600000000001</v>
      </c>
      <c r="AB3" s="65">
        <v>0.42358400000000002</v>
      </c>
      <c r="AC3" s="65">
        <v>0.38997799999999999</v>
      </c>
      <c r="AD3" s="65">
        <v>0.105354</v>
      </c>
      <c r="AE3" s="65">
        <v>0.42738500000000001</v>
      </c>
      <c r="AF3" s="65">
        <v>9.4569E-2</v>
      </c>
      <c r="AG3" s="65">
        <v>5.8033000000000001E-2</v>
      </c>
      <c r="AH3" s="65">
        <v>0.41796699999999998</v>
      </c>
      <c r="AI3" s="65">
        <v>0.91251000000000004</v>
      </c>
      <c r="AJ3" s="65">
        <v>0.45794099999999999</v>
      </c>
      <c r="AK3" s="65">
        <v>0.58305099999999999</v>
      </c>
      <c r="AL3">
        <v>0</v>
      </c>
      <c r="AM3">
        <v>0</v>
      </c>
      <c r="AN3">
        <v>0.27557059322833161</v>
      </c>
      <c r="AO3">
        <v>7.5082121069920227E-4</v>
      </c>
      <c r="AP3">
        <v>0.1513251476499694</v>
      </c>
      <c r="AQ3">
        <v>0.1024609550912593</v>
      </c>
      <c r="AR3">
        <v>6.0065696855936181E-4</v>
      </c>
      <c r="AS3">
        <v>0.35410414386363481</v>
      </c>
      <c r="AT3">
        <v>0.4021447721179624</v>
      </c>
      <c r="AU3">
        <v>0</v>
      </c>
      <c r="AV3">
        <v>0</v>
      </c>
      <c r="AW3">
        <v>0.1012866790239884</v>
      </c>
      <c r="AY3">
        <f t="shared" ref="AY3:AY66" si="1">100*AL3</f>
        <v>0</v>
      </c>
      <c r="AZ3">
        <f t="shared" ref="AZ3:AZ66" si="2">100*AM3</f>
        <v>0</v>
      </c>
      <c r="BA3">
        <f t="shared" ref="BA3:BA66" si="3">100*AN3</f>
        <v>27.557059322833162</v>
      </c>
      <c r="BB3">
        <f t="shared" ref="BB3:BB66" si="4">100*AO3</f>
        <v>7.5082121069920224E-2</v>
      </c>
      <c r="BC3">
        <f t="shared" ref="BC3:BC66" si="5">100*AP3</f>
        <v>15.132514764996941</v>
      </c>
      <c r="BD3">
        <f t="shared" ref="BD3:BD66" si="6">100*AQ3</f>
        <v>10.246095509125929</v>
      </c>
      <c r="BE3">
        <f t="shared" ref="BE3:BE66" si="7">100*AR3</f>
        <v>6.0065696855936185E-2</v>
      </c>
      <c r="BF3">
        <f t="shared" ref="BF3:BF66" si="8">100*AS3</f>
        <v>35.410414386363485</v>
      </c>
      <c r="BG3">
        <f t="shared" ref="BG3:BG66" si="9">100*AT3</f>
        <v>40.214477211796243</v>
      </c>
      <c r="BH3">
        <f t="shared" ref="BH3:BH66" si="10">100*AU3</f>
        <v>0</v>
      </c>
      <c r="BI3">
        <f t="shared" ref="BI3:BI66" si="11">100*AV3</f>
        <v>0</v>
      </c>
      <c r="BJ3">
        <f t="shared" ref="BJ3:BJ66" si="12">100*AW3</f>
        <v>10.12866790239884</v>
      </c>
    </row>
    <row r="4" spans="1:62" ht="15.6" thickBot="1">
      <c r="A4" s="5" t="s">
        <v>55</v>
      </c>
      <c r="B4" s="19" t="s">
        <v>56</v>
      </c>
      <c r="C4" s="38" t="s">
        <v>57</v>
      </c>
      <c r="D4" s="35">
        <v>28.15126050420168</v>
      </c>
      <c r="E4" s="10">
        <v>29.6</v>
      </c>
      <c r="F4" s="10">
        <v>10.504201680672269</v>
      </c>
      <c r="G4" s="10">
        <v>61.344537815126053</v>
      </c>
      <c r="H4" s="11">
        <v>15.165822222222221</v>
      </c>
      <c r="I4" s="12">
        <v>27.4</v>
      </c>
      <c r="J4" s="14">
        <v>7.1</v>
      </c>
      <c r="K4" s="27">
        <v>85</v>
      </c>
      <c r="L4" s="15">
        <v>73</v>
      </c>
      <c r="M4" s="13">
        <v>50</v>
      </c>
      <c r="N4" s="15">
        <v>59</v>
      </c>
      <c r="O4" s="16">
        <v>25</v>
      </c>
      <c r="P4" s="15">
        <v>48</v>
      </c>
      <c r="Q4" s="15">
        <v>49</v>
      </c>
      <c r="R4" s="22">
        <v>49</v>
      </c>
      <c r="S4" s="23">
        <v>54</v>
      </c>
      <c r="T4" s="42">
        <v>61.088332886676199</v>
      </c>
      <c r="U4" s="65">
        <v>0.15378</v>
      </c>
      <c r="V4" s="65">
        <v>0.126581</v>
      </c>
      <c r="W4" s="65">
        <v>0.176013</v>
      </c>
      <c r="X4" s="65">
        <v>0.68301699999999999</v>
      </c>
      <c r="Y4" s="65">
        <v>0.80202700000000005</v>
      </c>
      <c r="Z4" s="65">
        <v>0.166237</v>
      </c>
      <c r="AA4" s="65">
        <v>6.8321999999999994E-2</v>
      </c>
      <c r="AB4" s="65">
        <v>0.24045900000000001</v>
      </c>
      <c r="AC4" s="65">
        <v>0.225692</v>
      </c>
      <c r="AD4" s="65">
        <v>0.11712</v>
      </c>
      <c r="AE4" s="65">
        <v>8.1975000000000006E-2</v>
      </c>
      <c r="AF4" s="65">
        <v>4.1363999999999998E-2</v>
      </c>
      <c r="AG4" s="65">
        <v>0.11756900000000001</v>
      </c>
      <c r="AH4" s="65">
        <v>0.50125699999999995</v>
      </c>
      <c r="AI4" s="65">
        <v>0.59332700000000005</v>
      </c>
      <c r="AJ4" s="65">
        <v>0.50028399999999995</v>
      </c>
      <c r="AK4" s="65">
        <v>0.26310699999999998</v>
      </c>
      <c r="AL4">
        <v>4.0496760259179268E-2</v>
      </c>
      <c r="AM4">
        <v>7.1947004219122229E-2</v>
      </c>
      <c r="AN4">
        <v>7.7759169913177453E-2</v>
      </c>
      <c r="AO4">
        <v>8.6393088552915755E-3</v>
      </c>
      <c r="AP4">
        <v>2.3982334739707411E-2</v>
      </c>
      <c r="AQ4">
        <v>2.0685649815517331E-2</v>
      </c>
      <c r="AR4">
        <v>1.4514038876889851E-2</v>
      </c>
      <c r="AS4">
        <v>3.7412790681685543E-2</v>
      </c>
      <c r="AT4">
        <v>0.18658707058974469</v>
      </c>
      <c r="AU4">
        <v>0</v>
      </c>
      <c r="AV4">
        <v>0</v>
      </c>
      <c r="AW4">
        <v>8.6814157791514131E-3</v>
      </c>
      <c r="AY4">
        <f t="shared" si="1"/>
        <v>4.0496760259179272</v>
      </c>
      <c r="AZ4">
        <f t="shared" si="2"/>
        <v>7.1947004219122226</v>
      </c>
      <c r="BA4">
        <f t="shared" si="3"/>
        <v>7.7759169913177457</v>
      </c>
      <c r="BB4">
        <f t="shared" si="4"/>
        <v>0.86393088552915753</v>
      </c>
      <c r="BC4">
        <f t="shared" si="5"/>
        <v>2.3982334739707412</v>
      </c>
      <c r="BD4">
        <f t="shared" si="6"/>
        <v>2.0685649815517331</v>
      </c>
      <c r="BE4">
        <f t="shared" si="7"/>
        <v>1.451403887688985</v>
      </c>
      <c r="BF4">
        <f t="shared" si="8"/>
        <v>3.7412790681685544</v>
      </c>
      <c r="BG4">
        <f t="shared" si="9"/>
        <v>18.658707058974468</v>
      </c>
      <c r="BH4">
        <f t="shared" si="10"/>
        <v>0</v>
      </c>
      <c r="BI4">
        <f t="shared" si="11"/>
        <v>0</v>
      </c>
      <c r="BJ4">
        <f t="shared" si="12"/>
        <v>0.86814157791514135</v>
      </c>
    </row>
    <row r="5" spans="1:62" ht="15.6" thickBot="1">
      <c r="A5" s="4" t="s">
        <v>58</v>
      </c>
      <c r="B5" s="17" t="s">
        <v>59</v>
      </c>
      <c r="C5" s="37" t="s">
        <v>60</v>
      </c>
      <c r="D5" s="35">
        <v>36.068895643363732</v>
      </c>
      <c r="E5" s="10">
        <v>182.1</v>
      </c>
      <c r="F5" s="10">
        <v>37.08206686930091</v>
      </c>
      <c r="G5" s="10">
        <v>26.849037487335359</v>
      </c>
      <c r="H5" s="11">
        <v>64.798630769230769</v>
      </c>
      <c r="I5" s="12">
        <v>65.900000000000006</v>
      </c>
      <c r="J5" s="14">
        <v>6.4</v>
      </c>
      <c r="K5" s="27">
        <v>97</v>
      </c>
      <c r="L5" s="15">
        <v>21</v>
      </c>
      <c r="M5" s="13">
        <v>72</v>
      </c>
      <c r="N5" s="15">
        <v>70</v>
      </c>
      <c r="O5" s="16">
        <v>21</v>
      </c>
      <c r="P5" s="15">
        <v>73</v>
      </c>
      <c r="Q5" s="15">
        <v>79</v>
      </c>
      <c r="R5" s="22">
        <v>71</v>
      </c>
      <c r="S5" s="23">
        <v>90</v>
      </c>
      <c r="T5" s="42">
        <v>62.269505803569302</v>
      </c>
      <c r="U5" s="65">
        <v>5.4597E-2</v>
      </c>
      <c r="V5" s="65">
        <v>0.17593500000000001</v>
      </c>
      <c r="W5" s="65">
        <v>0.178731</v>
      </c>
      <c r="X5" s="65">
        <v>0.710121</v>
      </c>
      <c r="Y5" s="65">
        <v>0.86312599999999995</v>
      </c>
      <c r="Z5" s="65">
        <v>0.104883</v>
      </c>
      <c r="AA5" s="65">
        <v>4.0202000000000002E-2</v>
      </c>
      <c r="AB5" s="65">
        <v>0.152008</v>
      </c>
      <c r="AC5" s="65">
        <v>0.13430300000000001</v>
      </c>
      <c r="AD5" s="65">
        <v>5.4931000000000001E-2</v>
      </c>
      <c r="AE5" s="65">
        <v>0.27601700000000001</v>
      </c>
      <c r="AF5" s="65">
        <v>9.9281999999999995E-2</v>
      </c>
      <c r="AG5" s="65">
        <v>4.6880000000000003E-3</v>
      </c>
      <c r="AH5" s="65">
        <v>0.40864800000000001</v>
      </c>
      <c r="AI5" s="65">
        <v>0.76039000000000001</v>
      </c>
      <c r="AJ5" s="65">
        <v>0.24124399999999999</v>
      </c>
      <c r="AK5" s="65">
        <v>0.26367600000000002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>
        <f t="shared" si="1"/>
        <v>0</v>
      </c>
      <c r="AZ5">
        <f t="shared" si="2"/>
        <v>0</v>
      </c>
      <c r="BA5">
        <f t="shared" si="3"/>
        <v>0</v>
      </c>
      <c r="BB5">
        <f t="shared" si="4"/>
        <v>0</v>
      </c>
      <c r="BC5">
        <f t="shared" si="5"/>
        <v>0</v>
      </c>
      <c r="BD5">
        <f t="shared" si="6"/>
        <v>0</v>
      </c>
      <c r="BE5">
        <f t="shared" si="7"/>
        <v>0</v>
      </c>
      <c r="BF5">
        <f t="shared" si="8"/>
        <v>0</v>
      </c>
      <c r="BG5">
        <f t="shared" si="9"/>
        <v>0</v>
      </c>
      <c r="BH5">
        <f t="shared" si="10"/>
        <v>0</v>
      </c>
      <c r="BI5">
        <f t="shared" si="11"/>
        <v>0</v>
      </c>
      <c r="BJ5">
        <f t="shared" si="12"/>
        <v>0</v>
      </c>
    </row>
    <row r="6" spans="1:62" ht="15.6" thickBot="1">
      <c r="A6" s="5" t="s">
        <v>61</v>
      </c>
      <c r="B6" s="19" t="s">
        <v>62</v>
      </c>
      <c r="C6" s="38" t="s">
        <v>63</v>
      </c>
      <c r="D6" s="35">
        <v>40.963855421686745</v>
      </c>
      <c r="E6" s="10">
        <v>95.5</v>
      </c>
      <c r="F6" s="10">
        <v>16.265060240963855</v>
      </c>
      <c r="G6" s="10">
        <v>42.771084337349393</v>
      </c>
      <c r="H6" s="11">
        <v>10.332616666666668</v>
      </c>
      <c r="I6" s="12"/>
      <c r="J6" s="14"/>
      <c r="K6" s="27"/>
      <c r="L6" s="15">
        <v>0</v>
      </c>
      <c r="M6" s="15"/>
      <c r="N6" s="15">
        <v>0</v>
      </c>
      <c r="O6" s="15">
        <v>0</v>
      </c>
      <c r="P6" s="15">
        <v>0</v>
      </c>
      <c r="Q6" s="15">
        <v>0</v>
      </c>
      <c r="R6" s="22">
        <v>74</v>
      </c>
      <c r="S6" s="23">
        <v>91</v>
      </c>
      <c r="T6" s="42">
        <v>63.269505803569302</v>
      </c>
      <c r="U6" s="65">
        <v>0.127613</v>
      </c>
      <c r="V6" s="65">
        <v>0.129636</v>
      </c>
      <c r="W6" s="65">
        <v>0.10606599999999999</v>
      </c>
      <c r="X6" s="65">
        <v>0.81240000000000001</v>
      </c>
      <c r="Y6" s="65">
        <v>0.77374799999999999</v>
      </c>
      <c r="Z6" s="65">
        <v>9.3769000000000005E-2</v>
      </c>
      <c r="AA6" s="65">
        <v>2.7359999999999999E-2</v>
      </c>
      <c r="AB6" s="65">
        <v>0.25848300000000002</v>
      </c>
      <c r="AC6" s="65">
        <v>0.18237700000000001</v>
      </c>
      <c r="AD6" s="65">
        <v>0.14038200000000001</v>
      </c>
      <c r="AE6" s="65">
        <v>0.12479700000000001</v>
      </c>
      <c r="AF6" s="65">
        <v>9.8792000000000005E-2</v>
      </c>
      <c r="AG6" s="65">
        <v>0</v>
      </c>
      <c r="AH6" s="65">
        <v>0.27420800000000001</v>
      </c>
      <c r="AI6" s="65">
        <v>0.73948800000000003</v>
      </c>
      <c r="AJ6" s="65">
        <v>0.56671499999999997</v>
      </c>
      <c r="AK6" s="65">
        <v>0</v>
      </c>
      <c r="AL6">
        <v>0</v>
      </c>
      <c r="AM6">
        <v>0</v>
      </c>
      <c r="AN6">
        <v>0</v>
      </c>
      <c r="AO6">
        <v>1</v>
      </c>
      <c r="AP6">
        <v>1.6868598094689109E-2</v>
      </c>
      <c r="AQ6">
        <v>8.3650037112186406E-3</v>
      </c>
      <c r="AR6">
        <v>1</v>
      </c>
      <c r="AS6">
        <v>2.631525814562052E-2</v>
      </c>
      <c r="AT6">
        <v>0.2370431244695326</v>
      </c>
      <c r="AU6">
        <v>0</v>
      </c>
      <c r="AV6">
        <v>0</v>
      </c>
      <c r="AW6">
        <v>0</v>
      </c>
      <c r="AY6">
        <f t="shared" si="1"/>
        <v>0</v>
      </c>
      <c r="AZ6">
        <f t="shared" si="2"/>
        <v>0</v>
      </c>
      <c r="BA6">
        <f t="shared" si="3"/>
        <v>0</v>
      </c>
      <c r="BB6">
        <f t="shared" si="4"/>
        <v>100</v>
      </c>
      <c r="BC6">
        <f t="shared" si="5"/>
        <v>1.6868598094689109</v>
      </c>
      <c r="BD6">
        <f t="shared" si="6"/>
        <v>0.83650037112186404</v>
      </c>
      <c r="BE6">
        <f t="shared" si="7"/>
        <v>100</v>
      </c>
      <c r="BF6">
        <f t="shared" si="8"/>
        <v>2.6315258145620519</v>
      </c>
      <c r="BG6">
        <f t="shared" si="9"/>
        <v>23.70431244695326</v>
      </c>
      <c r="BH6">
        <f t="shared" si="10"/>
        <v>0</v>
      </c>
      <c r="BI6">
        <f t="shared" si="11"/>
        <v>0</v>
      </c>
      <c r="BJ6">
        <f t="shared" si="12"/>
        <v>0</v>
      </c>
    </row>
    <row r="7" spans="1:62" ht="15.6" thickBot="1">
      <c r="A7" s="6" t="s">
        <v>64</v>
      </c>
      <c r="B7" s="17" t="s">
        <v>59</v>
      </c>
      <c r="C7" s="37" t="s">
        <v>60</v>
      </c>
      <c r="D7" s="35">
        <v>36.068895643363732</v>
      </c>
      <c r="E7" s="10">
        <v>182.1</v>
      </c>
      <c r="F7" s="10">
        <v>37.08206686930091</v>
      </c>
      <c r="G7" s="10">
        <v>26.849037487335359</v>
      </c>
      <c r="H7" s="11">
        <v>64.624511111111104</v>
      </c>
      <c r="I7" s="12"/>
      <c r="J7" s="14"/>
      <c r="K7" s="27">
        <v>97</v>
      </c>
      <c r="L7" s="15">
        <v>21</v>
      </c>
      <c r="M7" s="13">
        <v>72</v>
      </c>
      <c r="N7" s="15">
        <v>70</v>
      </c>
      <c r="O7" s="16">
        <v>21</v>
      </c>
      <c r="P7" s="15">
        <v>73</v>
      </c>
      <c r="Q7" s="15">
        <v>79</v>
      </c>
      <c r="R7" s="22">
        <v>71</v>
      </c>
      <c r="S7" s="23">
        <v>90</v>
      </c>
      <c r="T7" s="42">
        <v>34.536949678139401</v>
      </c>
      <c r="U7" s="65">
        <v>4.6119E-2</v>
      </c>
      <c r="V7" s="65">
        <v>8.1099999999999992E-3</v>
      </c>
      <c r="W7" s="65">
        <v>1.258E-3</v>
      </c>
      <c r="X7" s="65">
        <v>0</v>
      </c>
      <c r="Y7" s="65">
        <v>0.11586399999999999</v>
      </c>
      <c r="Z7" s="65">
        <v>0</v>
      </c>
      <c r="AA7" s="65">
        <v>0</v>
      </c>
      <c r="AB7" s="65">
        <v>5.8966999999999999E-2</v>
      </c>
      <c r="AC7" s="65">
        <v>0.13251099999999999</v>
      </c>
      <c r="AD7" s="65">
        <v>0.11386</v>
      </c>
      <c r="AE7" s="65">
        <v>1</v>
      </c>
      <c r="AF7" s="65">
        <v>0.75101099999999998</v>
      </c>
      <c r="AG7" s="65">
        <v>0</v>
      </c>
      <c r="AH7" s="65">
        <v>0.585789</v>
      </c>
      <c r="AI7" s="65">
        <v>0.18762599999999999</v>
      </c>
      <c r="AJ7" s="65">
        <v>1</v>
      </c>
      <c r="AK7" s="65">
        <v>0.30613699999999999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>
        <f t="shared" si="1"/>
        <v>0</v>
      </c>
      <c r="AZ7">
        <f t="shared" si="2"/>
        <v>0</v>
      </c>
      <c r="BA7">
        <f t="shared" si="3"/>
        <v>0</v>
      </c>
      <c r="BB7">
        <f t="shared" si="4"/>
        <v>0</v>
      </c>
      <c r="BC7">
        <f t="shared" si="5"/>
        <v>0</v>
      </c>
      <c r="BD7">
        <f t="shared" si="6"/>
        <v>0</v>
      </c>
      <c r="BE7">
        <f t="shared" si="7"/>
        <v>0</v>
      </c>
      <c r="BF7">
        <f t="shared" si="8"/>
        <v>0</v>
      </c>
      <c r="BG7">
        <f t="shared" si="9"/>
        <v>0</v>
      </c>
      <c r="BH7">
        <f t="shared" si="10"/>
        <v>0</v>
      </c>
      <c r="BI7">
        <f t="shared" si="11"/>
        <v>0</v>
      </c>
      <c r="BJ7">
        <f t="shared" si="12"/>
        <v>0</v>
      </c>
    </row>
    <row r="8" spans="1:62" ht="15.6" thickBot="1">
      <c r="A8" s="7" t="s">
        <v>65</v>
      </c>
      <c r="B8" s="9" t="s">
        <v>66</v>
      </c>
      <c r="C8" s="38" t="s">
        <v>63</v>
      </c>
      <c r="D8" s="35">
        <v>40.963855421686745</v>
      </c>
      <c r="E8" s="10">
        <v>95.5</v>
      </c>
      <c r="F8" s="10">
        <v>16.265060240963855</v>
      </c>
      <c r="G8" s="10">
        <v>42.771084337349393</v>
      </c>
      <c r="H8" s="11">
        <v>33.71566</v>
      </c>
      <c r="I8" s="12"/>
      <c r="J8" s="14"/>
      <c r="K8" s="27">
        <v>95</v>
      </c>
      <c r="L8" s="15">
        <v>44</v>
      </c>
      <c r="M8" s="13">
        <v>63</v>
      </c>
      <c r="N8" s="15">
        <v>76</v>
      </c>
      <c r="O8" s="16">
        <v>33</v>
      </c>
      <c r="P8" s="15">
        <v>76</v>
      </c>
      <c r="Q8" s="15">
        <v>78</v>
      </c>
      <c r="R8" s="22">
        <v>74</v>
      </c>
      <c r="S8" s="23">
        <v>95</v>
      </c>
      <c r="T8" s="42">
        <v>41.543431423425403</v>
      </c>
      <c r="U8" s="65">
        <v>6.4205999999999999E-2</v>
      </c>
      <c r="V8" s="65">
        <v>0.22811300000000001</v>
      </c>
      <c r="W8" s="65">
        <v>9.7406999999999994E-2</v>
      </c>
      <c r="X8" s="65">
        <v>0.87264299999999995</v>
      </c>
      <c r="Y8" s="65">
        <v>0.86240399999999995</v>
      </c>
      <c r="Z8" s="65">
        <v>0</v>
      </c>
      <c r="AA8" s="65">
        <v>0</v>
      </c>
      <c r="AB8" s="65">
        <v>0.25062600000000002</v>
      </c>
      <c r="AC8" s="65">
        <v>0.14943400000000001</v>
      </c>
      <c r="AD8" s="65">
        <v>9.2351000000000003E-2</v>
      </c>
      <c r="AE8" s="65">
        <v>0.220804</v>
      </c>
      <c r="AF8" s="65">
        <v>0.126946</v>
      </c>
      <c r="AG8" s="65">
        <v>0</v>
      </c>
      <c r="AH8" s="65">
        <v>0.35337600000000002</v>
      </c>
      <c r="AI8" s="65">
        <v>0.57259099999999996</v>
      </c>
      <c r="AJ8" s="65">
        <v>0.53568099999999996</v>
      </c>
      <c r="AK8" s="65">
        <v>0.16373299999999999</v>
      </c>
      <c r="AL8">
        <v>0</v>
      </c>
      <c r="AM8">
        <v>0</v>
      </c>
      <c r="AN8">
        <v>0</v>
      </c>
      <c r="AO8">
        <v>0</v>
      </c>
      <c r="AP8">
        <v>2.8624956800869041E-2</v>
      </c>
      <c r="AQ8">
        <v>7.4388646774366587E-3</v>
      </c>
      <c r="AR8">
        <v>0</v>
      </c>
      <c r="AS8">
        <v>2.2327674279561619E-2</v>
      </c>
      <c r="AT8">
        <v>6.4530207618928845E-2</v>
      </c>
      <c r="AU8">
        <v>0</v>
      </c>
      <c r="AV8">
        <v>0</v>
      </c>
      <c r="AW8">
        <v>4.4528708841383859E-2</v>
      </c>
      <c r="AY8">
        <f t="shared" si="1"/>
        <v>0</v>
      </c>
      <c r="AZ8">
        <f t="shared" si="2"/>
        <v>0</v>
      </c>
      <c r="BA8">
        <f t="shared" si="3"/>
        <v>0</v>
      </c>
      <c r="BB8">
        <f t="shared" si="4"/>
        <v>0</v>
      </c>
      <c r="BC8">
        <f t="shared" si="5"/>
        <v>2.8624956800869041</v>
      </c>
      <c r="BD8">
        <f t="shared" si="6"/>
        <v>0.74388646774366585</v>
      </c>
      <c r="BE8">
        <f t="shared" si="7"/>
        <v>0</v>
      </c>
      <c r="BF8">
        <f t="shared" si="8"/>
        <v>2.232767427956162</v>
      </c>
      <c r="BG8">
        <f t="shared" si="9"/>
        <v>6.4530207618928843</v>
      </c>
      <c r="BH8">
        <f t="shared" si="10"/>
        <v>0</v>
      </c>
      <c r="BI8">
        <f t="shared" si="11"/>
        <v>0</v>
      </c>
      <c r="BJ8">
        <f t="shared" si="12"/>
        <v>4.4528708841383855</v>
      </c>
    </row>
    <row r="9" spans="1:62" ht="15.6" thickBot="1">
      <c r="A9" s="6" t="s">
        <v>67</v>
      </c>
      <c r="B9" s="17" t="s">
        <v>68</v>
      </c>
      <c r="C9" s="37" t="s">
        <v>69</v>
      </c>
      <c r="D9" s="35">
        <v>46.017699115044245</v>
      </c>
      <c r="E9" s="10">
        <v>65.599999999999994</v>
      </c>
      <c r="F9" s="10">
        <v>10.619469026548673</v>
      </c>
      <c r="G9" s="10">
        <v>43.362831858407077</v>
      </c>
      <c r="H9" s="11">
        <v>4.0144823529411768</v>
      </c>
      <c r="I9" s="12"/>
      <c r="J9" s="14"/>
      <c r="K9" s="14">
        <v>97</v>
      </c>
      <c r="L9" s="15">
        <v>33</v>
      </c>
      <c r="M9" s="13">
        <v>70</v>
      </c>
      <c r="N9" s="15">
        <v>80</v>
      </c>
      <c r="O9" s="16">
        <v>37</v>
      </c>
      <c r="P9" s="15">
        <v>72</v>
      </c>
      <c r="Q9" s="15">
        <v>62</v>
      </c>
      <c r="R9" s="22">
        <v>70</v>
      </c>
      <c r="S9" s="10">
        <v>71</v>
      </c>
      <c r="T9" s="42">
        <v>13.9431565932766</v>
      </c>
      <c r="U9" s="65">
        <v>5.9729999999999998E-2</v>
      </c>
      <c r="V9" s="65">
        <v>4.5656000000000002E-2</v>
      </c>
      <c r="W9" s="65">
        <v>0</v>
      </c>
      <c r="X9" s="65">
        <v>0.73413799999999996</v>
      </c>
      <c r="Y9" s="65"/>
      <c r="Z9" s="65">
        <v>2.2995999999999999E-2</v>
      </c>
      <c r="AA9" s="65">
        <v>7.8120000000000004E-3</v>
      </c>
      <c r="AB9" s="65">
        <v>0.211011</v>
      </c>
      <c r="AC9" s="65">
        <v>0.17819699999999999</v>
      </c>
      <c r="AD9" s="65"/>
      <c r="AE9" s="65">
        <v>6.9932999999999995E-2</v>
      </c>
      <c r="AF9" s="65"/>
      <c r="AG9" s="65"/>
      <c r="AH9" s="65">
        <v>0.15484800000000001</v>
      </c>
      <c r="AI9" s="65">
        <v>0.76303600000000005</v>
      </c>
      <c r="AJ9" s="65">
        <v>1</v>
      </c>
      <c r="AK9" s="65">
        <v>1</v>
      </c>
      <c r="AL9">
        <v>1</v>
      </c>
      <c r="AM9">
        <v>1.6975780556653219E-2</v>
      </c>
      <c r="AN9">
        <v>0.11711884668366131</v>
      </c>
      <c r="AO9">
        <v>0</v>
      </c>
      <c r="AP9">
        <v>0</v>
      </c>
      <c r="AQ9">
        <v>0</v>
      </c>
      <c r="AR9">
        <v>0.1024</v>
      </c>
      <c r="AS9">
        <v>2.6482464343754831E-2</v>
      </c>
      <c r="AT9">
        <v>8.5859376528835032E-2</v>
      </c>
      <c r="AU9">
        <v>0.58666666666666667</v>
      </c>
      <c r="AV9">
        <v>4.2507600244411962E-2</v>
      </c>
      <c r="AW9">
        <v>3.4940410222253759E-3</v>
      </c>
      <c r="AY9">
        <f t="shared" si="1"/>
        <v>100</v>
      </c>
      <c r="AZ9">
        <f t="shared" si="2"/>
        <v>1.6975780556653219</v>
      </c>
      <c r="BA9">
        <f t="shared" si="3"/>
        <v>11.71188466836613</v>
      </c>
      <c r="BB9">
        <f t="shared" si="4"/>
        <v>0</v>
      </c>
      <c r="BC9">
        <f t="shared" si="5"/>
        <v>0</v>
      </c>
      <c r="BD9">
        <f t="shared" si="6"/>
        <v>0</v>
      </c>
      <c r="BE9">
        <f t="shared" si="7"/>
        <v>10.24</v>
      </c>
      <c r="BF9">
        <f t="shared" si="8"/>
        <v>2.648246434375483</v>
      </c>
      <c r="BG9">
        <f t="shared" si="9"/>
        <v>8.5859376528835032</v>
      </c>
      <c r="BH9">
        <f t="shared" si="10"/>
        <v>58.666666666666664</v>
      </c>
      <c r="BI9">
        <f t="shared" si="11"/>
        <v>4.2507600244411963</v>
      </c>
      <c r="BJ9">
        <f t="shared" si="12"/>
        <v>0.34940410222253759</v>
      </c>
    </row>
    <row r="10" spans="1:62" ht="15.6" thickBot="1">
      <c r="A10" s="7" t="s">
        <v>70</v>
      </c>
      <c r="B10" s="19" t="s">
        <v>62</v>
      </c>
      <c r="C10" s="38" t="s">
        <v>63</v>
      </c>
      <c r="D10" s="35">
        <v>40.963855421686745</v>
      </c>
      <c r="E10" s="10">
        <v>95.5</v>
      </c>
      <c r="F10" s="10">
        <v>16.265060240963855</v>
      </c>
      <c r="G10" s="10">
        <v>42.771084337349393</v>
      </c>
      <c r="H10" s="11">
        <v>28.648125</v>
      </c>
      <c r="I10" s="12">
        <v>62.5</v>
      </c>
      <c r="J10" s="14">
        <v>12.6</v>
      </c>
      <c r="K10" s="14"/>
      <c r="L10" s="15">
        <v>0</v>
      </c>
      <c r="M10" s="15"/>
      <c r="N10" s="15">
        <v>0</v>
      </c>
      <c r="O10" s="15">
        <v>0</v>
      </c>
      <c r="P10" s="15">
        <v>0</v>
      </c>
      <c r="Q10" s="15">
        <v>0</v>
      </c>
      <c r="R10" s="22">
        <v>74</v>
      </c>
      <c r="S10" s="10">
        <v>72</v>
      </c>
      <c r="T10" s="42">
        <v>14.9431565932766</v>
      </c>
      <c r="U10" s="65">
        <v>4.8259999999999997E-2</v>
      </c>
      <c r="V10" s="65">
        <v>8.3035999999999999E-2</v>
      </c>
      <c r="W10" s="65">
        <v>0.101465</v>
      </c>
      <c r="X10" s="65">
        <v>0.93268799999999996</v>
      </c>
      <c r="Y10" s="65">
        <v>0.95645199999999997</v>
      </c>
      <c r="Z10" s="65">
        <v>1.5430000000000001E-3</v>
      </c>
      <c r="AA10" s="65">
        <v>0</v>
      </c>
      <c r="AB10" s="65">
        <v>0.36834</v>
      </c>
      <c r="AC10" s="65">
        <v>0.18202299999999999</v>
      </c>
      <c r="AD10" s="65">
        <v>6.9128999999999996E-2</v>
      </c>
      <c r="AE10" s="65">
        <v>0.171046</v>
      </c>
      <c r="AF10" s="65">
        <v>5.5225000000000003E-2</v>
      </c>
      <c r="AG10" s="65">
        <v>6.0340000000000003E-3</v>
      </c>
      <c r="AH10" s="65">
        <v>9.2104000000000005E-2</v>
      </c>
      <c r="AI10" s="65">
        <v>0.86240700000000003</v>
      </c>
      <c r="AJ10" s="65">
        <v>0.42664099999999999</v>
      </c>
      <c r="AK10" s="65">
        <v>0.52488900000000005</v>
      </c>
      <c r="AL10">
        <v>0.83333333333333348</v>
      </c>
      <c r="AM10">
        <v>6.3171611374322348E-3</v>
      </c>
      <c r="AN10">
        <v>0</v>
      </c>
      <c r="AO10">
        <v>0</v>
      </c>
      <c r="AP10">
        <v>0</v>
      </c>
      <c r="AQ10">
        <v>0</v>
      </c>
      <c r="AR10">
        <v>8.5333333333333344E-2</v>
      </c>
      <c r="AS10">
        <v>4.9274315845887953E-3</v>
      </c>
      <c r="AT10">
        <v>0</v>
      </c>
      <c r="AU10">
        <v>0</v>
      </c>
      <c r="AV10">
        <v>0</v>
      </c>
      <c r="AW10">
        <v>0</v>
      </c>
      <c r="AY10">
        <f t="shared" si="1"/>
        <v>83.333333333333343</v>
      </c>
      <c r="AZ10">
        <f t="shared" si="2"/>
        <v>0.63171611374322345</v>
      </c>
      <c r="BA10">
        <f t="shared" si="3"/>
        <v>0</v>
      </c>
      <c r="BB10">
        <f t="shared" si="4"/>
        <v>0</v>
      </c>
      <c r="BC10">
        <f t="shared" si="5"/>
        <v>0</v>
      </c>
      <c r="BD10">
        <f t="shared" si="6"/>
        <v>0</v>
      </c>
      <c r="BE10">
        <f t="shared" si="7"/>
        <v>8.533333333333335</v>
      </c>
      <c r="BF10">
        <f t="shared" si="8"/>
        <v>0.4927431584588795</v>
      </c>
      <c r="BG10">
        <f t="shared" si="9"/>
        <v>0</v>
      </c>
      <c r="BH10">
        <f t="shared" si="10"/>
        <v>0</v>
      </c>
      <c r="BI10">
        <f t="shared" si="11"/>
        <v>0</v>
      </c>
      <c r="BJ10">
        <f t="shared" si="12"/>
        <v>0</v>
      </c>
    </row>
    <row r="11" spans="1:62" ht="15.6" thickBot="1">
      <c r="A11" s="6" t="s">
        <v>71</v>
      </c>
      <c r="B11" s="17" t="s">
        <v>72</v>
      </c>
      <c r="C11" s="37" t="s">
        <v>73</v>
      </c>
      <c r="D11" s="35">
        <v>17.20430107526882</v>
      </c>
      <c r="E11" s="10">
        <v>11.3</v>
      </c>
      <c r="F11" s="10">
        <v>16.129032258064516</v>
      </c>
      <c r="G11" s="10">
        <v>66.666666666666657</v>
      </c>
      <c r="H11" s="11">
        <v>2.0857047619047617</v>
      </c>
      <c r="I11" s="12">
        <v>29.6</v>
      </c>
      <c r="J11" s="14">
        <v>13.1</v>
      </c>
      <c r="K11" s="14">
        <v>92</v>
      </c>
      <c r="L11" s="15">
        <v>61</v>
      </c>
      <c r="M11" s="13">
        <v>55</v>
      </c>
      <c r="N11" s="15">
        <v>80</v>
      </c>
      <c r="O11" s="16">
        <v>42</v>
      </c>
      <c r="P11" s="15">
        <v>56.999999999999993</v>
      </c>
      <c r="Q11" s="15">
        <v>56.999999999999993</v>
      </c>
      <c r="R11" s="22">
        <v>32</v>
      </c>
      <c r="S11" s="10">
        <v>84</v>
      </c>
      <c r="T11" s="42">
        <v>56.425109247406901</v>
      </c>
      <c r="U11" s="65">
        <v>1</v>
      </c>
      <c r="V11" s="65">
        <v>1</v>
      </c>
      <c r="W11" s="65">
        <v>0.44764900000000002</v>
      </c>
      <c r="X11" s="65">
        <v>0.79740999999999995</v>
      </c>
      <c r="Y11" s="65">
        <v>0.854298</v>
      </c>
      <c r="Z11" s="65">
        <v>0.56618299999999999</v>
      </c>
      <c r="AA11" s="65">
        <v>0</v>
      </c>
      <c r="AB11" s="65">
        <v>0.49030000000000001</v>
      </c>
      <c r="AC11" s="65">
        <v>0.362348</v>
      </c>
      <c r="AD11" s="65">
        <v>0.19048300000000001</v>
      </c>
      <c r="AE11" s="65">
        <v>0.247723</v>
      </c>
      <c r="AF11" s="65">
        <v>0.117877</v>
      </c>
      <c r="AG11" s="65">
        <v>1</v>
      </c>
      <c r="AH11" s="65">
        <v>0.69952400000000003</v>
      </c>
      <c r="AI11" s="65">
        <v>0.87712800000000002</v>
      </c>
      <c r="AJ11" s="65">
        <v>0.207842</v>
      </c>
      <c r="AK11" s="65">
        <v>0.53161700000000001</v>
      </c>
      <c r="AL11">
        <v>0</v>
      </c>
      <c r="AM11">
        <v>0</v>
      </c>
      <c r="AN11">
        <v>0.37814387055167958</v>
      </c>
      <c r="AO11">
        <v>6.237816764132555E-4</v>
      </c>
      <c r="AP11">
        <v>0.64101967008430982</v>
      </c>
      <c r="AQ11">
        <v>0.1302068018057225</v>
      </c>
      <c r="AR11">
        <v>3.4931773879142309E-4</v>
      </c>
      <c r="AS11">
        <v>1</v>
      </c>
      <c r="AT11">
        <v>0.59017462502717188</v>
      </c>
      <c r="AU11">
        <v>0</v>
      </c>
      <c r="AV11">
        <v>0</v>
      </c>
      <c r="AW11">
        <v>0</v>
      </c>
      <c r="AY11">
        <f t="shared" si="1"/>
        <v>0</v>
      </c>
      <c r="AZ11">
        <f t="shared" si="2"/>
        <v>0</v>
      </c>
      <c r="BA11">
        <f t="shared" si="3"/>
        <v>37.814387055167956</v>
      </c>
      <c r="BB11">
        <f t="shared" si="4"/>
        <v>6.2378167641325546E-2</v>
      </c>
      <c r="BC11">
        <f t="shared" si="5"/>
        <v>64.101967008430989</v>
      </c>
      <c r="BD11">
        <f t="shared" si="6"/>
        <v>13.020680180572249</v>
      </c>
      <c r="BE11">
        <f t="shared" si="7"/>
        <v>3.4931773879142307E-2</v>
      </c>
      <c r="BF11">
        <f t="shared" si="8"/>
        <v>100</v>
      </c>
      <c r="BG11">
        <f t="shared" si="9"/>
        <v>59.017462502717187</v>
      </c>
      <c r="BH11">
        <f t="shared" si="10"/>
        <v>0</v>
      </c>
      <c r="BI11">
        <f t="shared" si="11"/>
        <v>0</v>
      </c>
      <c r="BJ11">
        <f t="shared" si="12"/>
        <v>0</v>
      </c>
    </row>
    <row r="12" spans="1:62" ht="15.6" thickBot="1">
      <c r="A12" s="7" t="s">
        <v>74</v>
      </c>
      <c r="B12" s="9" t="s">
        <v>75</v>
      </c>
      <c r="C12" s="38" t="s">
        <v>69</v>
      </c>
      <c r="D12" s="35">
        <v>46.017699115044245</v>
      </c>
      <c r="E12" s="10">
        <v>65.599999999999994</v>
      </c>
      <c r="F12" s="10">
        <v>10.619469026548673</v>
      </c>
      <c r="G12" s="10">
        <v>43.362831858407077</v>
      </c>
      <c r="H12" s="11">
        <v>13.241800000000001</v>
      </c>
      <c r="I12" s="12">
        <v>37.6</v>
      </c>
      <c r="J12" s="14">
        <v>7.1</v>
      </c>
      <c r="K12" s="14">
        <v>91</v>
      </c>
      <c r="L12" s="15">
        <v>56.999999999999993</v>
      </c>
      <c r="M12" s="13">
        <v>56</v>
      </c>
      <c r="N12" s="15">
        <v>72</v>
      </c>
      <c r="O12" s="16">
        <v>25</v>
      </c>
      <c r="P12" s="15">
        <v>73</v>
      </c>
      <c r="Q12" s="15">
        <v>67</v>
      </c>
      <c r="R12" s="22">
        <v>70</v>
      </c>
      <c r="S12" s="10">
        <v>70</v>
      </c>
      <c r="T12" s="42">
        <v>84.733298700184903</v>
      </c>
      <c r="U12" s="65">
        <v>0.24345900000000001</v>
      </c>
      <c r="V12" s="65">
        <v>0.55682100000000001</v>
      </c>
      <c r="W12" s="65">
        <v>0.86606700000000003</v>
      </c>
      <c r="X12" s="65">
        <v>0.92161999999999999</v>
      </c>
      <c r="Y12" s="65">
        <v>0.95916500000000005</v>
      </c>
      <c r="Z12" s="65">
        <v>0.76113399999999998</v>
      </c>
      <c r="AA12" s="65">
        <v>0.151007</v>
      </c>
      <c r="AB12" s="65">
        <v>0.36698700000000001</v>
      </c>
      <c r="AC12" s="65">
        <v>0.18861800000000001</v>
      </c>
      <c r="AD12" s="65">
        <v>6.6919000000000006E-2</v>
      </c>
      <c r="AE12" s="65">
        <v>0.18518000000000001</v>
      </c>
      <c r="AF12" s="65">
        <v>5.4876000000000001E-2</v>
      </c>
      <c r="AG12" s="65">
        <v>2.6932000000000001E-2</v>
      </c>
      <c r="AH12" s="65">
        <v>0.51431199999999999</v>
      </c>
      <c r="AI12" s="65">
        <v>0.87682599999999999</v>
      </c>
      <c r="AJ12" s="65">
        <v>0.65865600000000002</v>
      </c>
      <c r="AK12" s="65">
        <v>0.53802899999999998</v>
      </c>
      <c r="AL12">
        <v>5.2854122621564482E-3</v>
      </c>
      <c r="AM12">
        <v>0.31914702574085663</v>
      </c>
      <c r="AN12">
        <v>0.22677972786432651</v>
      </c>
      <c r="AO12">
        <v>0</v>
      </c>
      <c r="AP12">
        <v>0</v>
      </c>
      <c r="AQ12">
        <v>4.8154474127143639E-2</v>
      </c>
      <c r="AR12">
        <v>5.4122621564482026E-4</v>
      </c>
      <c r="AS12">
        <v>0.37340549826522612</v>
      </c>
      <c r="AT12">
        <v>0.26322203265902999</v>
      </c>
      <c r="AU12">
        <v>6.2015503875968983E-3</v>
      </c>
      <c r="AV12">
        <v>0.39957438611176199</v>
      </c>
      <c r="AW12">
        <v>0.2171690189640825</v>
      </c>
      <c r="AY12">
        <f t="shared" si="1"/>
        <v>0.52854122621564481</v>
      </c>
      <c r="AZ12">
        <f t="shared" si="2"/>
        <v>31.914702574085663</v>
      </c>
      <c r="BA12">
        <f t="shared" si="3"/>
        <v>22.677972786432651</v>
      </c>
      <c r="BB12">
        <f t="shared" si="4"/>
        <v>0</v>
      </c>
      <c r="BC12">
        <f t="shared" si="5"/>
        <v>0</v>
      </c>
      <c r="BD12">
        <f t="shared" si="6"/>
        <v>4.8154474127143638</v>
      </c>
      <c r="BE12">
        <f t="shared" si="7"/>
        <v>5.4122621564482026E-2</v>
      </c>
      <c r="BF12">
        <f t="shared" si="8"/>
        <v>37.340549826522611</v>
      </c>
      <c r="BG12">
        <f t="shared" si="9"/>
        <v>26.322203265902999</v>
      </c>
      <c r="BH12">
        <f t="shared" si="10"/>
        <v>0.6201550387596898</v>
      </c>
      <c r="BI12">
        <f t="shared" si="11"/>
        <v>39.957438611176201</v>
      </c>
      <c r="BJ12">
        <f t="shared" si="12"/>
        <v>21.716901896408249</v>
      </c>
    </row>
    <row r="13" spans="1:62" ht="30.6" thickBot="1">
      <c r="A13" s="6" t="s">
        <v>76</v>
      </c>
      <c r="B13" s="17" t="s">
        <v>72</v>
      </c>
      <c r="C13" s="37" t="s">
        <v>73</v>
      </c>
      <c r="D13" s="35">
        <v>17.20430107526882</v>
      </c>
      <c r="E13" s="10">
        <v>11.3</v>
      </c>
      <c r="F13" s="10">
        <v>16.129032258064516</v>
      </c>
      <c r="G13" s="10">
        <v>66.666666666666657</v>
      </c>
      <c r="H13" s="11">
        <v>0.63428159509202453</v>
      </c>
      <c r="I13" s="12">
        <v>31.1</v>
      </c>
      <c r="J13" s="14">
        <v>9.4</v>
      </c>
      <c r="K13" s="14">
        <v>92</v>
      </c>
      <c r="L13" s="15">
        <v>61</v>
      </c>
      <c r="M13" s="13">
        <v>55</v>
      </c>
      <c r="N13" s="15">
        <v>80</v>
      </c>
      <c r="O13" s="16">
        <v>42</v>
      </c>
      <c r="P13" s="15">
        <v>56.999999999999993</v>
      </c>
      <c r="Q13" s="15">
        <v>56.999999999999993</v>
      </c>
      <c r="R13" s="22">
        <v>32</v>
      </c>
      <c r="S13" s="10">
        <v>84</v>
      </c>
      <c r="T13" s="42">
        <v>66.571438422997701</v>
      </c>
      <c r="U13" s="65">
        <v>0.41123100000000001</v>
      </c>
      <c r="V13" s="65">
        <v>0.25040200000000001</v>
      </c>
      <c r="W13" s="65">
        <v>0.370365</v>
      </c>
      <c r="X13" s="65">
        <v>0.64374900000000002</v>
      </c>
      <c r="Y13" s="65">
        <v>0.91812000000000005</v>
      </c>
      <c r="Z13" s="65">
        <v>1</v>
      </c>
      <c r="AA13" s="65">
        <v>0.21021500000000001</v>
      </c>
      <c r="AB13" s="65">
        <v>0.98516599999999999</v>
      </c>
      <c r="AC13" s="65">
        <v>1</v>
      </c>
      <c r="AD13" s="65">
        <v>0.26344600000000001</v>
      </c>
      <c r="AE13" s="65">
        <v>0.327098</v>
      </c>
      <c r="AF13" s="65">
        <v>6.7077999999999999E-2</v>
      </c>
      <c r="AG13" s="65">
        <v>2.4042999999999998E-2</v>
      </c>
      <c r="AH13" s="65">
        <v>0.353632</v>
      </c>
      <c r="AI13" s="65">
        <v>0.97521599999999997</v>
      </c>
      <c r="AJ13" s="65">
        <v>0.537327</v>
      </c>
      <c r="AK13" s="65">
        <v>0.52391600000000005</v>
      </c>
      <c r="AL13">
        <v>3.2368744740078979E-3</v>
      </c>
      <c r="AM13">
        <v>0.68994296215756923</v>
      </c>
      <c r="AN13">
        <v>0.99172359965130641</v>
      </c>
      <c r="AO13">
        <v>1.0357998316825269E-2</v>
      </c>
      <c r="AP13">
        <v>0.51745722161817698</v>
      </c>
      <c r="AQ13">
        <v>0.81666901213106724</v>
      </c>
      <c r="AR13">
        <v>2.2787596297015611E-4</v>
      </c>
      <c r="AS13">
        <v>0.40362039245232412</v>
      </c>
      <c r="AT13">
        <v>0.34952769913056547</v>
      </c>
      <c r="AU13">
        <v>1.898966358084634E-3</v>
      </c>
      <c r="AV13">
        <v>0.43190679110400498</v>
      </c>
      <c r="AW13">
        <v>0.35968376683745862</v>
      </c>
      <c r="AY13">
        <f t="shared" si="1"/>
        <v>0.32368744740078981</v>
      </c>
      <c r="AZ13">
        <f t="shared" si="2"/>
        <v>68.994296215756918</v>
      </c>
      <c r="BA13">
        <f t="shared" si="3"/>
        <v>99.172359965130639</v>
      </c>
      <c r="BB13">
        <f t="shared" si="4"/>
        <v>1.035799831682527</v>
      </c>
      <c r="BC13">
        <f t="shared" si="5"/>
        <v>51.745722161817696</v>
      </c>
      <c r="BD13">
        <f t="shared" si="6"/>
        <v>81.666901213106726</v>
      </c>
      <c r="BE13">
        <f t="shared" si="7"/>
        <v>2.278759629701561E-2</v>
      </c>
      <c r="BF13">
        <f t="shared" si="8"/>
        <v>40.36203924523241</v>
      </c>
      <c r="BG13">
        <f t="shared" si="9"/>
        <v>34.952769913056549</v>
      </c>
      <c r="BH13">
        <f t="shared" si="10"/>
        <v>0.18989663580846339</v>
      </c>
      <c r="BI13">
        <f t="shared" si="11"/>
        <v>43.190679110400495</v>
      </c>
      <c r="BJ13">
        <f t="shared" si="12"/>
        <v>35.968376683745859</v>
      </c>
    </row>
    <row r="14" spans="1:62" ht="15.6" thickBot="1">
      <c r="A14" s="7" t="s">
        <v>77</v>
      </c>
      <c r="B14" s="9" t="s">
        <v>78</v>
      </c>
      <c r="C14" s="38" t="s">
        <v>54</v>
      </c>
      <c r="D14" s="35">
        <v>35.483870967741936</v>
      </c>
      <c r="E14" s="10">
        <v>49.5</v>
      </c>
      <c r="F14" s="10">
        <v>17.419354838709676</v>
      </c>
      <c r="G14" s="10">
        <v>47.096774193548384</v>
      </c>
      <c r="H14" s="11">
        <v>3.4597275862068968</v>
      </c>
      <c r="I14" s="12">
        <v>37.9</v>
      </c>
      <c r="J14" s="14">
        <v>8.1999999999999993</v>
      </c>
      <c r="K14" s="14">
        <v>98</v>
      </c>
      <c r="L14" s="15">
        <v>28.999999999999996</v>
      </c>
      <c r="M14" s="13">
        <v>71</v>
      </c>
      <c r="N14" s="15">
        <v>82</v>
      </c>
      <c r="O14" s="16">
        <v>37</v>
      </c>
      <c r="P14" s="15">
        <v>73</v>
      </c>
      <c r="Q14" s="15">
        <v>85</v>
      </c>
      <c r="R14" s="22">
        <v>62</v>
      </c>
      <c r="S14" s="10">
        <v>81</v>
      </c>
      <c r="T14" s="42">
        <v>59.075081691560953</v>
      </c>
      <c r="U14" s="65">
        <v>0.375666</v>
      </c>
      <c r="V14" s="65">
        <v>0.314801</v>
      </c>
      <c r="W14" s="65">
        <v>0.39345599999999997</v>
      </c>
      <c r="X14" s="65">
        <v>0.72275199999999995</v>
      </c>
      <c r="Y14" s="65">
        <v>0.93318199999999996</v>
      </c>
      <c r="Z14" s="65">
        <v>0.86661500000000002</v>
      </c>
      <c r="AA14" s="65">
        <v>0.585928</v>
      </c>
      <c r="AB14" s="65">
        <v>0.63297899999999996</v>
      </c>
      <c r="AC14" s="65">
        <v>0.55290499999999998</v>
      </c>
      <c r="AD14" s="65">
        <v>0.14976</v>
      </c>
      <c r="AE14" s="65">
        <v>0.49914700000000001</v>
      </c>
      <c r="AF14" s="65">
        <v>0.111274</v>
      </c>
      <c r="AG14" s="65">
        <v>2.7820000000000001E-2</v>
      </c>
      <c r="AH14" s="65">
        <v>0.36213899999999999</v>
      </c>
      <c r="AI14" s="65">
        <v>0.89317800000000003</v>
      </c>
      <c r="AJ14" s="65">
        <v>0.50678900000000004</v>
      </c>
      <c r="AK14" s="65">
        <v>0.53523100000000001</v>
      </c>
      <c r="AL14">
        <v>1.2450199203187251E-3</v>
      </c>
      <c r="AM14">
        <v>6.5431679758026898E-2</v>
      </c>
      <c r="AN14">
        <v>0.51952472728975174</v>
      </c>
      <c r="AO14">
        <v>7.1713147410358566E-3</v>
      </c>
      <c r="AP14">
        <v>0.19629503927408071</v>
      </c>
      <c r="AQ14">
        <v>0.25229011672722917</v>
      </c>
      <c r="AR14">
        <v>8.6055776892430299E-4</v>
      </c>
      <c r="AS14">
        <v>0.15311155681717459</v>
      </c>
      <c r="AT14">
        <v>0.42659170250930623</v>
      </c>
      <c r="AU14">
        <v>5.8432934926958826E-3</v>
      </c>
      <c r="AV14">
        <v>0.1638418732612866</v>
      </c>
      <c r="AW14">
        <v>0.2018047491699983</v>
      </c>
      <c r="AY14">
        <f t="shared" si="1"/>
        <v>0.12450199203187251</v>
      </c>
      <c r="AZ14">
        <f t="shared" si="2"/>
        <v>6.5431679758026897</v>
      </c>
      <c r="BA14">
        <f t="shared" si="3"/>
        <v>51.952472728975174</v>
      </c>
      <c r="BB14">
        <f t="shared" si="4"/>
        <v>0.71713147410358569</v>
      </c>
      <c r="BC14">
        <f t="shared" si="5"/>
        <v>19.62950392740807</v>
      </c>
      <c r="BD14">
        <f t="shared" si="6"/>
        <v>25.229011672722919</v>
      </c>
      <c r="BE14">
        <f t="shared" si="7"/>
        <v>8.6055776892430297E-2</v>
      </c>
      <c r="BF14">
        <f t="shared" si="8"/>
        <v>15.311155681717459</v>
      </c>
      <c r="BG14">
        <f t="shared" si="9"/>
        <v>42.659170250930622</v>
      </c>
      <c r="BH14">
        <f t="shared" si="10"/>
        <v>0.58432934926958824</v>
      </c>
      <c r="BI14">
        <f t="shared" si="11"/>
        <v>16.384187326128661</v>
      </c>
      <c r="BJ14">
        <f t="shared" si="12"/>
        <v>20.180474916999831</v>
      </c>
    </row>
    <row r="15" spans="1:62" ht="15.6" thickBot="1">
      <c r="A15" s="6" t="s">
        <v>79</v>
      </c>
      <c r="B15" s="17" t="s">
        <v>59</v>
      </c>
      <c r="C15" s="37" t="s">
        <v>60</v>
      </c>
      <c r="D15" s="35">
        <v>36.068895643363732</v>
      </c>
      <c r="E15" s="10">
        <v>182.1</v>
      </c>
      <c r="F15" s="10">
        <v>37.08206686930091</v>
      </c>
      <c r="G15" s="10">
        <v>26.849037487335359</v>
      </c>
      <c r="H15" s="11">
        <v>1.8219161835748794</v>
      </c>
      <c r="I15" s="12">
        <v>58</v>
      </c>
      <c r="J15" s="14">
        <v>6.2</v>
      </c>
      <c r="K15" s="14">
        <v>97</v>
      </c>
      <c r="L15" s="15">
        <v>21</v>
      </c>
      <c r="M15" s="13">
        <v>72</v>
      </c>
      <c r="N15" s="15">
        <v>70</v>
      </c>
      <c r="O15" s="16">
        <v>21</v>
      </c>
      <c r="P15" s="15">
        <v>73</v>
      </c>
      <c r="Q15" s="15">
        <v>79</v>
      </c>
      <c r="R15" s="22">
        <v>71</v>
      </c>
      <c r="S15" s="10">
        <v>90</v>
      </c>
      <c r="T15" s="42">
        <v>91.511409322869596</v>
      </c>
      <c r="U15" s="65">
        <v>0.26533200000000001</v>
      </c>
      <c r="V15" s="65">
        <v>0.28372700000000001</v>
      </c>
      <c r="W15" s="65">
        <v>0.28428599999999998</v>
      </c>
      <c r="X15" s="65">
        <v>0.80499600000000004</v>
      </c>
      <c r="Y15" s="65">
        <v>0.89343499999999998</v>
      </c>
      <c r="Z15" s="65">
        <v>0.88312000000000002</v>
      </c>
      <c r="AA15" s="65">
        <v>5.6069000000000001E-2</v>
      </c>
      <c r="AB15" s="65">
        <v>0.33290999999999998</v>
      </c>
      <c r="AC15" s="65">
        <v>0.240373</v>
      </c>
      <c r="AD15" s="65">
        <v>0.103185</v>
      </c>
      <c r="AE15" s="65">
        <v>0.430122</v>
      </c>
      <c r="AF15" s="65">
        <v>0.161916</v>
      </c>
      <c r="AG15" s="65">
        <v>2.8833000000000001E-2</v>
      </c>
      <c r="AH15" s="65">
        <v>0.38010899999999997</v>
      </c>
      <c r="AI15" s="65">
        <v>0.92217000000000005</v>
      </c>
      <c r="AJ15" s="65">
        <v>0.26565699999999998</v>
      </c>
      <c r="AK15" s="65">
        <v>0.29835699999999998</v>
      </c>
      <c r="AL15">
        <v>2.4050024050024051E-2</v>
      </c>
      <c r="AM15">
        <v>6.3652472903715104E-2</v>
      </c>
      <c r="AN15">
        <v>0.1171267544250636</v>
      </c>
      <c r="AO15">
        <v>5.7720057720057711E-3</v>
      </c>
      <c r="AP15">
        <v>6.3652472903715104E-2</v>
      </c>
      <c r="AQ15">
        <v>1.526176914904907E-2</v>
      </c>
      <c r="AR15">
        <v>9.0812890812890807E-3</v>
      </c>
      <c r="AS15">
        <v>6.6199188443357482E-2</v>
      </c>
      <c r="AT15">
        <v>0.201990524808109</v>
      </c>
      <c r="AU15">
        <v>2.821869488536155E-2</v>
      </c>
      <c r="AV15">
        <v>0.1062578090289522</v>
      </c>
      <c r="AW15">
        <v>0.17515303235736429</v>
      </c>
      <c r="AY15">
        <f t="shared" si="1"/>
        <v>2.405002405002405</v>
      </c>
      <c r="AZ15">
        <f t="shared" si="2"/>
        <v>6.36524729037151</v>
      </c>
      <c r="BA15">
        <f t="shared" si="3"/>
        <v>11.71267544250636</v>
      </c>
      <c r="BB15">
        <f t="shared" si="4"/>
        <v>0.57720057720057716</v>
      </c>
      <c r="BC15">
        <f t="shared" si="5"/>
        <v>6.36524729037151</v>
      </c>
      <c r="BD15">
        <f t="shared" si="6"/>
        <v>1.5261769149049069</v>
      </c>
      <c r="BE15">
        <f t="shared" si="7"/>
        <v>0.90812890812890812</v>
      </c>
      <c r="BF15">
        <f t="shared" si="8"/>
        <v>6.6199188443357482</v>
      </c>
      <c r="BG15">
        <f t="shared" si="9"/>
        <v>20.199052480810899</v>
      </c>
      <c r="BH15">
        <f t="shared" si="10"/>
        <v>2.821869488536155</v>
      </c>
      <c r="BI15">
        <f t="shared" si="11"/>
        <v>10.625780902895219</v>
      </c>
      <c r="BJ15">
        <f t="shared" si="12"/>
        <v>17.515303235736429</v>
      </c>
    </row>
    <row r="16" spans="1:62" ht="15.6" thickBot="1">
      <c r="A16" s="7" t="s">
        <v>80</v>
      </c>
      <c r="B16" s="9" t="s">
        <v>59</v>
      </c>
      <c r="C16" s="38" t="s">
        <v>60</v>
      </c>
      <c r="D16" s="35">
        <v>36.068895643363732</v>
      </c>
      <c r="E16" s="10">
        <v>182.1</v>
      </c>
      <c r="F16" s="10">
        <v>37.08206686930091</v>
      </c>
      <c r="G16" s="10">
        <v>26.849037487335359</v>
      </c>
      <c r="H16" s="11">
        <v>39.137746153846152</v>
      </c>
      <c r="I16" s="12">
        <v>55.7</v>
      </c>
      <c r="J16" s="14">
        <v>9.5</v>
      </c>
      <c r="K16" s="14">
        <v>97</v>
      </c>
      <c r="L16" s="15">
        <v>21</v>
      </c>
      <c r="M16" s="13">
        <v>72</v>
      </c>
      <c r="N16" s="15">
        <v>70</v>
      </c>
      <c r="O16" s="16">
        <v>21</v>
      </c>
      <c r="P16" s="15">
        <v>73</v>
      </c>
      <c r="Q16" s="15">
        <v>79</v>
      </c>
      <c r="R16" s="22">
        <v>71</v>
      </c>
      <c r="S16" s="10">
        <v>90</v>
      </c>
      <c r="T16" s="42">
        <v>51.751450967400899</v>
      </c>
      <c r="U16" s="65">
        <v>9.2765E-2</v>
      </c>
      <c r="V16" s="65">
        <v>7.4498999999999996E-2</v>
      </c>
      <c r="W16" s="65">
        <v>0.17424899999999999</v>
      </c>
      <c r="X16" s="65">
        <v>0.61230099999999998</v>
      </c>
      <c r="Y16" s="65">
        <v>0.89430500000000002</v>
      </c>
      <c r="Z16" s="65">
        <v>0.634799</v>
      </c>
      <c r="AA16" s="65">
        <v>4.8856999999999998E-2</v>
      </c>
      <c r="AB16" s="65">
        <v>0.233014</v>
      </c>
      <c r="AC16" s="65">
        <v>0.248475</v>
      </c>
      <c r="AD16" s="65">
        <v>7.1050000000000002E-2</v>
      </c>
      <c r="AE16" s="65">
        <v>0.49894699999999997</v>
      </c>
      <c r="AF16" s="65">
        <v>0.12071900000000001</v>
      </c>
      <c r="AG16" s="65">
        <v>8.2909999999999998E-3</v>
      </c>
      <c r="AH16" s="65">
        <v>0.20511199999999999</v>
      </c>
      <c r="AI16" s="65">
        <v>0.81079500000000004</v>
      </c>
      <c r="AJ16" s="65">
        <v>0.60933199999999998</v>
      </c>
      <c r="AK16" s="65">
        <v>0.248778</v>
      </c>
      <c r="AL16">
        <v>2.9222676797194629E-2</v>
      </c>
      <c r="AM16">
        <v>2.417262731014674E-2</v>
      </c>
      <c r="AN16">
        <v>0.1075384874586694</v>
      </c>
      <c r="AO16">
        <v>9.3512565751022805E-3</v>
      </c>
      <c r="AP16">
        <v>1.6115084873431159E-2</v>
      </c>
      <c r="AQ16">
        <v>1.433762025362096E-2</v>
      </c>
      <c r="AR16">
        <v>2.6183518410286379E-3</v>
      </c>
      <c r="AS16">
        <v>1.8854824928357859E-2</v>
      </c>
      <c r="AT16">
        <v>8.0559098362789239E-2</v>
      </c>
      <c r="AU16">
        <v>6.8575881550750048E-2</v>
      </c>
      <c r="AV16">
        <v>6.052860869211478E-2</v>
      </c>
      <c r="AW16">
        <v>8.7784482640376513E-2</v>
      </c>
      <c r="AY16">
        <f t="shared" si="1"/>
        <v>2.9222676797194631</v>
      </c>
      <c r="AZ16">
        <f t="shared" si="2"/>
        <v>2.4172627310146741</v>
      </c>
      <c r="BA16">
        <f t="shared" si="3"/>
        <v>10.753848745866939</v>
      </c>
      <c r="BB16">
        <f t="shared" si="4"/>
        <v>0.93512565751022803</v>
      </c>
      <c r="BC16">
        <f t="shared" si="5"/>
        <v>1.6115084873431158</v>
      </c>
      <c r="BD16">
        <f t="shared" si="6"/>
        <v>1.433762025362096</v>
      </c>
      <c r="BE16">
        <f t="shared" si="7"/>
        <v>0.26183518410286377</v>
      </c>
      <c r="BF16">
        <f t="shared" si="8"/>
        <v>1.8854824928357858</v>
      </c>
      <c r="BG16">
        <f t="shared" si="9"/>
        <v>8.0559098362789232</v>
      </c>
      <c r="BH16">
        <f t="shared" si="10"/>
        <v>6.8575881550750051</v>
      </c>
      <c r="BI16">
        <f t="shared" si="11"/>
        <v>6.0528608692114778</v>
      </c>
      <c r="BJ16">
        <f t="shared" si="12"/>
        <v>8.7784482640376513</v>
      </c>
    </row>
    <row r="17" spans="1:62" ht="15.6" thickBot="1">
      <c r="A17" s="6" t="s">
        <v>81</v>
      </c>
      <c r="B17" s="17" t="s">
        <v>82</v>
      </c>
      <c r="C17" s="37" t="s">
        <v>57</v>
      </c>
      <c r="D17" s="35">
        <v>28.15126050420168</v>
      </c>
      <c r="E17" s="10">
        <v>29.6</v>
      </c>
      <c r="F17" s="10">
        <v>10.504201680672269</v>
      </c>
      <c r="G17" s="10">
        <v>61.344537815126053</v>
      </c>
      <c r="H17" s="11">
        <v>12.231414516129032</v>
      </c>
      <c r="I17" s="12">
        <v>35.6</v>
      </c>
      <c r="J17" s="14">
        <v>8.3000000000000007</v>
      </c>
      <c r="K17" s="14">
        <v>96</v>
      </c>
      <c r="L17" s="15">
        <v>39</v>
      </c>
      <c r="M17" s="13">
        <v>67</v>
      </c>
      <c r="N17" s="15">
        <v>84</v>
      </c>
      <c r="O17" s="16">
        <v>26</v>
      </c>
      <c r="P17" s="15">
        <v>56.999999999999993</v>
      </c>
      <c r="Q17" s="15">
        <v>44</v>
      </c>
      <c r="R17" s="22">
        <v>49</v>
      </c>
      <c r="S17" s="10">
        <v>72</v>
      </c>
      <c r="T17" s="42">
        <v>69.620553862645053</v>
      </c>
      <c r="U17" s="65">
        <v>0.40115400000000001</v>
      </c>
      <c r="V17" s="65">
        <v>0.30314400000000002</v>
      </c>
      <c r="W17" s="65">
        <v>0.38212099999999999</v>
      </c>
      <c r="X17" s="65">
        <v>0.75193399999999999</v>
      </c>
      <c r="Y17" s="65">
        <v>0.91331799999999996</v>
      </c>
      <c r="Z17" s="65">
        <v>0.68445699999999998</v>
      </c>
      <c r="AA17" s="65">
        <v>0.39959899999999998</v>
      </c>
      <c r="AB17" s="65">
        <v>0.60526000000000002</v>
      </c>
      <c r="AC17" s="65">
        <v>0.49713200000000002</v>
      </c>
      <c r="AD17" s="65">
        <v>0.166376</v>
      </c>
      <c r="AE17" s="65">
        <v>0.354464</v>
      </c>
      <c r="AF17" s="65">
        <v>9.9344000000000002E-2</v>
      </c>
      <c r="AG17" s="65">
        <v>4.4245E-2</v>
      </c>
      <c r="AH17" s="65">
        <v>0.37802999999999998</v>
      </c>
      <c r="AI17" s="65">
        <v>0.90555799999999997</v>
      </c>
      <c r="AJ17" s="65">
        <v>0.21295900000000001</v>
      </c>
      <c r="AK17" s="65">
        <v>0.36592200000000003</v>
      </c>
      <c r="AL17">
        <v>0</v>
      </c>
      <c r="AM17">
        <v>0</v>
      </c>
      <c r="AN17">
        <v>4.6687391158229202E-2</v>
      </c>
      <c r="AO17">
        <v>1.6794961511546541E-3</v>
      </c>
      <c r="AP17">
        <v>0.14298791213320369</v>
      </c>
      <c r="AQ17">
        <v>4.2110089381269769E-2</v>
      </c>
      <c r="AR17">
        <v>7.3897830650804773E-4</v>
      </c>
      <c r="AS17">
        <v>0.27882902585968489</v>
      </c>
      <c r="AT17">
        <v>0.1550522977004116</v>
      </c>
      <c r="AU17">
        <v>4.1054350361558207E-3</v>
      </c>
      <c r="AV17">
        <v>0.1790219008915965</v>
      </c>
      <c r="AW17">
        <v>0.18068621150989711</v>
      </c>
      <c r="AY17">
        <f t="shared" si="1"/>
        <v>0</v>
      </c>
      <c r="AZ17">
        <f t="shared" si="2"/>
        <v>0</v>
      </c>
      <c r="BA17">
        <f t="shared" si="3"/>
        <v>4.6687391158229206</v>
      </c>
      <c r="BB17">
        <f t="shared" si="4"/>
        <v>0.16794961511546541</v>
      </c>
      <c r="BC17">
        <f t="shared" si="5"/>
        <v>14.298791213320369</v>
      </c>
      <c r="BD17">
        <f t="shared" si="6"/>
        <v>4.2110089381269766</v>
      </c>
      <c r="BE17">
        <f t="shared" si="7"/>
        <v>7.3897830650804769E-2</v>
      </c>
      <c r="BF17">
        <f t="shared" si="8"/>
        <v>27.882902585968488</v>
      </c>
      <c r="BG17">
        <f t="shared" si="9"/>
        <v>15.50522977004116</v>
      </c>
      <c r="BH17">
        <f t="shared" si="10"/>
        <v>0.41054350361558206</v>
      </c>
      <c r="BI17">
        <f t="shared" si="11"/>
        <v>17.902190089159649</v>
      </c>
      <c r="BJ17">
        <f t="shared" si="12"/>
        <v>18.06862115098971</v>
      </c>
    </row>
    <row r="18" spans="1:62" ht="15.6" thickBot="1">
      <c r="A18" s="7" t="s">
        <v>83</v>
      </c>
      <c r="B18" s="9" t="s">
        <v>84</v>
      </c>
      <c r="C18" s="38" t="s">
        <v>73</v>
      </c>
      <c r="D18" s="35">
        <v>17.20430107526882</v>
      </c>
      <c r="E18" s="10">
        <v>11.3</v>
      </c>
      <c r="F18" s="10">
        <v>16.129032258064516</v>
      </c>
      <c r="G18" s="10">
        <v>66.666666666666657</v>
      </c>
      <c r="H18" s="11">
        <v>1.630972619047619</v>
      </c>
      <c r="I18" s="12">
        <v>28.1</v>
      </c>
      <c r="J18" s="14">
        <v>7.8</v>
      </c>
      <c r="K18" s="14">
        <v>86</v>
      </c>
      <c r="L18" s="15">
        <v>62</v>
      </c>
      <c r="M18" s="13">
        <v>52</v>
      </c>
      <c r="N18" s="15">
        <v>78</v>
      </c>
      <c r="O18" s="16">
        <v>44</v>
      </c>
      <c r="P18" s="15">
        <v>51</v>
      </c>
      <c r="Q18" s="15">
        <v>48</v>
      </c>
      <c r="R18" s="22">
        <v>32</v>
      </c>
      <c r="S18" s="10">
        <v>83</v>
      </c>
      <c r="T18" s="42">
        <v>54.317242706718403</v>
      </c>
      <c r="U18" s="65">
        <v>0.37864700000000001</v>
      </c>
      <c r="V18" s="65">
        <v>0.31567600000000001</v>
      </c>
      <c r="W18" s="65">
        <v>0.35782199999999997</v>
      </c>
      <c r="X18" s="65">
        <v>0.72521100000000005</v>
      </c>
      <c r="Y18" s="65">
        <v>0.92178300000000002</v>
      </c>
      <c r="Z18" s="65">
        <v>1</v>
      </c>
      <c r="AA18" s="65">
        <v>4.3646999999999998E-2</v>
      </c>
      <c r="AB18" s="65">
        <v>0.84660100000000005</v>
      </c>
      <c r="AC18" s="65">
        <v>0.73669799999999996</v>
      </c>
      <c r="AD18" s="65">
        <v>0.21999299999999999</v>
      </c>
      <c r="AE18" s="65">
        <v>0.13758500000000001</v>
      </c>
      <c r="AF18" s="65">
        <v>2.9366E-2</v>
      </c>
      <c r="AG18" s="65">
        <v>0.19611700000000001</v>
      </c>
      <c r="AH18" s="65">
        <v>0.34067500000000001</v>
      </c>
      <c r="AI18" s="65">
        <v>0.96995600000000004</v>
      </c>
      <c r="AJ18" s="65">
        <v>0.59953000000000001</v>
      </c>
      <c r="AK18" s="65">
        <v>0.49241200000000002</v>
      </c>
      <c r="AL18">
        <v>7.6003242805026353E-3</v>
      </c>
      <c r="AM18">
        <v>0.50299066194552233</v>
      </c>
      <c r="AN18">
        <v>0.99999999999999989</v>
      </c>
      <c r="AO18">
        <v>2.594244021078233E-2</v>
      </c>
      <c r="AP18">
        <v>0.50299066194552233</v>
      </c>
      <c r="AQ18">
        <v>1</v>
      </c>
      <c r="AR18">
        <v>5.5127685447912446E-4</v>
      </c>
      <c r="AS18">
        <v>0.2942522781005496</v>
      </c>
      <c r="AT18">
        <v>0.30482573726541551</v>
      </c>
      <c r="AU18">
        <v>0</v>
      </c>
      <c r="AV18">
        <v>0</v>
      </c>
      <c r="AW18">
        <v>0.14679631014709549</v>
      </c>
      <c r="AY18">
        <f t="shared" si="1"/>
        <v>0.7600324280502635</v>
      </c>
      <c r="AZ18">
        <f t="shared" si="2"/>
        <v>50.299066194552232</v>
      </c>
      <c r="BA18">
        <f t="shared" si="3"/>
        <v>99.999999999999986</v>
      </c>
      <c r="BB18">
        <f t="shared" si="4"/>
        <v>2.5942440210782332</v>
      </c>
      <c r="BC18">
        <f t="shared" si="5"/>
        <v>50.299066194552232</v>
      </c>
      <c r="BD18">
        <f t="shared" si="6"/>
        <v>100</v>
      </c>
      <c r="BE18">
        <f t="shared" si="7"/>
        <v>5.5127685447912446E-2</v>
      </c>
      <c r="BF18">
        <f t="shared" si="8"/>
        <v>29.42522781005496</v>
      </c>
      <c r="BG18">
        <f t="shared" si="9"/>
        <v>30.482573726541553</v>
      </c>
      <c r="BH18">
        <f t="shared" si="10"/>
        <v>0</v>
      </c>
      <c r="BI18">
        <f t="shared" si="11"/>
        <v>0</v>
      </c>
      <c r="BJ18">
        <f t="shared" si="12"/>
        <v>14.67963101470955</v>
      </c>
    </row>
    <row r="19" spans="1:62" ht="15.6" thickBot="1">
      <c r="A19" s="6" t="s">
        <v>85</v>
      </c>
      <c r="B19" s="17" t="s">
        <v>50</v>
      </c>
      <c r="C19" s="37" t="s">
        <v>51</v>
      </c>
      <c r="D19" s="35">
        <v>30.256410256410255</v>
      </c>
      <c r="E19" s="10">
        <v>23.8</v>
      </c>
      <c r="F19" s="10">
        <v>6.666666666666667</v>
      </c>
      <c r="G19" s="10">
        <v>63.076923076923073</v>
      </c>
      <c r="H19" s="11">
        <v>12.193241176470588</v>
      </c>
      <c r="I19" s="12">
        <v>28.5</v>
      </c>
      <c r="J19" s="14">
        <v>9.3000000000000007</v>
      </c>
      <c r="K19" s="14">
        <v>96</v>
      </c>
      <c r="L19" s="15">
        <v>61</v>
      </c>
      <c r="M19" s="13">
        <v>56</v>
      </c>
      <c r="N19" s="15">
        <v>77</v>
      </c>
      <c r="O19" s="16">
        <v>21</v>
      </c>
      <c r="P19" s="15">
        <v>55.000000000000007</v>
      </c>
      <c r="Q19" s="15">
        <v>55.000000000000007</v>
      </c>
      <c r="R19" s="22">
        <v>54</v>
      </c>
      <c r="S19" s="10">
        <v>81</v>
      </c>
      <c r="T19" s="42">
        <v>50.670990000971102</v>
      </c>
      <c r="U19" s="65">
        <v>0.74916000000000005</v>
      </c>
      <c r="V19" s="65">
        <v>0.47405900000000001</v>
      </c>
      <c r="W19" s="65">
        <v>0.613263</v>
      </c>
      <c r="X19" s="65">
        <v>0.683369</v>
      </c>
      <c r="Y19" s="65">
        <v>0.90597399999999995</v>
      </c>
      <c r="Z19" s="65">
        <v>0.90010299999999999</v>
      </c>
      <c r="AA19" s="65">
        <v>0.75687300000000002</v>
      </c>
      <c r="AB19" s="65">
        <v>0.61581399999999997</v>
      </c>
      <c r="AC19" s="65">
        <v>0.58101000000000003</v>
      </c>
      <c r="AD19" s="65">
        <v>0.178094</v>
      </c>
      <c r="AE19" s="65">
        <v>0.23869799999999999</v>
      </c>
      <c r="AF19" s="65">
        <v>5.8047000000000001E-2</v>
      </c>
      <c r="AG19" s="65">
        <v>0.119919</v>
      </c>
      <c r="AH19" s="65">
        <v>0.58284599999999998</v>
      </c>
      <c r="AI19" s="65">
        <v>0.90957399999999999</v>
      </c>
      <c r="AJ19" s="65">
        <v>0.52190700000000001</v>
      </c>
      <c r="AK19" s="65">
        <v>0.47108</v>
      </c>
      <c r="AL19">
        <v>3.9422849483560672E-3</v>
      </c>
      <c r="AM19">
        <v>0.27537974376177682</v>
      </c>
      <c r="AN19">
        <v>0.47388134994703102</v>
      </c>
      <c r="AO19">
        <v>6.3076559173697077E-4</v>
      </c>
      <c r="AP19">
        <v>0.13768987188088841</v>
      </c>
      <c r="AQ19">
        <v>5.3013296844099611E-2</v>
      </c>
      <c r="AR19">
        <v>4.7938184972009791E-4</v>
      </c>
      <c r="AS19">
        <v>0.21479820090821669</v>
      </c>
      <c r="AT19">
        <v>0.21715817694369971</v>
      </c>
      <c r="AU19">
        <v>4.6256143394044526E-3</v>
      </c>
      <c r="AV19">
        <v>0.68955486460070003</v>
      </c>
      <c r="AW19">
        <v>0.21997182167643639</v>
      </c>
      <c r="AY19">
        <f t="shared" si="1"/>
        <v>0.39422849483560674</v>
      </c>
      <c r="AZ19">
        <f t="shared" si="2"/>
        <v>27.537974376177683</v>
      </c>
      <c r="BA19">
        <f t="shared" si="3"/>
        <v>47.388134994703101</v>
      </c>
      <c r="BB19">
        <f t="shared" si="4"/>
        <v>6.3076559173697075E-2</v>
      </c>
      <c r="BC19">
        <f t="shared" si="5"/>
        <v>13.768987188088841</v>
      </c>
      <c r="BD19">
        <f t="shared" si="6"/>
        <v>5.3013296844099607</v>
      </c>
      <c r="BE19">
        <f t="shared" si="7"/>
        <v>4.7938184972009794E-2</v>
      </c>
      <c r="BF19">
        <f t="shared" si="8"/>
        <v>21.479820090821669</v>
      </c>
      <c r="BG19">
        <f t="shared" si="9"/>
        <v>21.715817694369971</v>
      </c>
      <c r="BH19">
        <f t="shared" si="10"/>
        <v>0.46256143394044524</v>
      </c>
      <c r="BI19">
        <f t="shared" si="11"/>
        <v>68.955486460070006</v>
      </c>
      <c r="BJ19">
        <f t="shared" si="12"/>
        <v>21.99718216764364</v>
      </c>
    </row>
    <row r="20" spans="1:62" ht="15.6" thickBot="1">
      <c r="A20" s="7" t="s">
        <v>86</v>
      </c>
      <c r="B20" s="9" t="s">
        <v>87</v>
      </c>
      <c r="C20" s="38" t="s">
        <v>51</v>
      </c>
      <c r="D20" s="35">
        <v>30.256410256410255</v>
      </c>
      <c r="E20" s="10">
        <v>23.8</v>
      </c>
      <c r="F20" s="10">
        <v>6.666666666666667</v>
      </c>
      <c r="G20" s="10">
        <v>63.076923076923073</v>
      </c>
      <c r="H20" s="11">
        <v>3.8706800000000001</v>
      </c>
      <c r="I20" s="12">
        <v>34.299999999999997</v>
      </c>
      <c r="J20" s="14">
        <v>8.3000000000000007</v>
      </c>
      <c r="K20" s="14">
        <v>91</v>
      </c>
      <c r="L20" s="15">
        <v>62</v>
      </c>
      <c r="M20" s="13">
        <v>54</v>
      </c>
      <c r="N20" s="15">
        <v>72</v>
      </c>
      <c r="O20" s="16">
        <v>20</v>
      </c>
      <c r="P20" s="15">
        <v>69</v>
      </c>
      <c r="Q20" s="15">
        <v>67</v>
      </c>
      <c r="R20" s="22">
        <v>54</v>
      </c>
      <c r="S20" s="10">
        <v>78</v>
      </c>
      <c r="T20" s="42">
        <v>66.628106934386196</v>
      </c>
      <c r="U20" s="65">
        <v>0.43095600000000001</v>
      </c>
      <c r="V20" s="65">
        <v>0.24030000000000001</v>
      </c>
      <c r="W20" s="65">
        <v>0.29160799999999998</v>
      </c>
      <c r="X20" s="65">
        <v>0.65493400000000002</v>
      </c>
      <c r="Y20" s="65">
        <v>0.88277799999999995</v>
      </c>
      <c r="Z20" s="65">
        <v>0.78881500000000004</v>
      </c>
      <c r="AA20" s="65">
        <v>0.52082300000000004</v>
      </c>
      <c r="AB20" s="65">
        <v>0.61322200000000004</v>
      </c>
      <c r="AC20" s="65">
        <v>0.609595</v>
      </c>
      <c r="AD20" s="65">
        <v>0.204906</v>
      </c>
      <c r="AE20" s="65">
        <v>0.53596699999999997</v>
      </c>
      <c r="AF20" s="65">
        <v>0.15307699999999999</v>
      </c>
      <c r="AG20" s="65">
        <v>5.6522000000000003E-2</v>
      </c>
      <c r="AH20" s="65">
        <v>0.465227</v>
      </c>
      <c r="AI20" s="65">
        <v>0.92654000000000003</v>
      </c>
      <c r="AJ20" s="65">
        <v>0.54999600000000004</v>
      </c>
      <c r="AK20" s="65">
        <v>0.46419100000000002</v>
      </c>
      <c r="AL20">
        <v>1.9066503965832831E-3</v>
      </c>
      <c r="AM20">
        <v>9.4534249242684679E-2</v>
      </c>
      <c r="AN20">
        <v>0.34990727095096952</v>
      </c>
      <c r="AO20">
        <v>0</v>
      </c>
      <c r="AP20">
        <v>0</v>
      </c>
      <c r="AQ20">
        <v>1.8039159926620821E-2</v>
      </c>
      <c r="AR20">
        <v>2.684563758389262E-4</v>
      </c>
      <c r="AS20">
        <v>0.221212203746223</v>
      </c>
      <c r="AT20">
        <v>0.16484865849415711</v>
      </c>
      <c r="AU20">
        <v>4.4742729306487686E-3</v>
      </c>
      <c r="AV20">
        <v>0.2367151285210698</v>
      </c>
      <c r="AW20">
        <v>0.19878159488886479</v>
      </c>
      <c r="AY20">
        <f t="shared" si="1"/>
        <v>0.19066503965832832</v>
      </c>
      <c r="AZ20">
        <f t="shared" si="2"/>
        <v>9.453424924268468</v>
      </c>
      <c r="BA20">
        <f t="shared" si="3"/>
        <v>34.99072709509695</v>
      </c>
      <c r="BB20">
        <f t="shared" si="4"/>
        <v>0</v>
      </c>
      <c r="BC20">
        <f t="shared" si="5"/>
        <v>0</v>
      </c>
      <c r="BD20">
        <f t="shared" si="6"/>
        <v>1.803915992662082</v>
      </c>
      <c r="BE20">
        <f t="shared" si="7"/>
        <v>2.684563758389262E-2</v>
      </c>
      <c r="BF20">
        <f t="shared" si="8"/>
        <v>22.1212203746223</v>
      </c>
      <c r="BG20">
        <f t="shared" si="9"/>
        <v>16.484865849415712</v>
      </c>
      <c r="BH20">
        <f t="shared" si="10"/>
        <v>0.44742729306487689</v>
      </c>
      <c r="BI20">
        <f t="shared" si="11"/>
        <v>23.671512852106979</v>
      </c>
      <c r="BJ20">
        <f t="shared" si="12"/>
        <v>19.878159488886478</v>
      </c>
    </row>
    <row r="21" spans="1:62" ht="15.6" thickBot="1">
      <c r="A21" s="6" t="s">
        <v>88</v>
      </c>
      <c r="B21" s="17" t="s">
        <v>53</v>
      </c>
      <c r="C21" s="37" t="s">
        <v>54</v>
      </c>
      <c r="D21" s="35">
        <v>35.483870967741936</v>
      </c>
      <c r="E21" s="10">
        <v>49.5</v>
      </c>
      <c r="F21" s="10">
        <v>17.419354838709676</v>
      </c>
      <c r="G21" s="10">
        <v>47.096774193548384</v>
      </c>
      <c r="H21" s="11">
        <v>22.04776129032258</v>
      </c>
      <c r="I21" s="12">
        <v>41.1</v>
      </c>
      <c r="J21" s="14">
        <v>7.5</v>
      </c>
      <c r="K21" s="14">
        <v>97</v>
      </c>
      <c r="L21" s="15">
        <v>38</v>
      </c>
      <c r="M21" s="15">
        <v>67</v>
      </c>
      <c r="N21" s="15">
        <v>84</v>
      </c>
      <c r="O21" s="16">
        <v>31</v>
      </c>
      <c r="P21" s="15">
        <v>74</v>
      </c>
      <c r="Q21" s="15">
        <v>78</v>
      </c>
      <c r="R21" s="22">
        <v>62</v>
      </c>
      <c r="S21" s="10">
        <v>79</v>
      </c>
      <c r="T21" s="42">
        <v>57.9914115311826</v>
      </c>
      <c r="U21" s="65">
        <v>0.16562399999999999</v>
      </c>
      <c r="V21" s="65">
        <v>0.10667600000000001</v>
      </c>
      <c r="W21" s="65">
        <v>0.25671699999999997</v>
      </c>
      <c r="X21" s="65">
        <v>0.79650500000000002</v>
      </c>
      <c r="Y21" s="65">
        <v>0.92901400000000001</v>
      </c>
      <c r="Z21" s="65">
        <v>0.41938599999999998</v>
      </c>
      <c r="AA21" s="65">
        <v>5.3251E-2</v>
      </c>
      <c r="AB21" s="65">
        <v>0.31585000000000002</v>
      </c>
      <c r="AC21" s="65">
        <v>0.23269400000000001</v>
      </c>
      <c r="AD21" s="65">
        <v>7.5764999999999999E-2</v>
      </c>
      <c r="AE21" s="65">
        <v>0.12956500000000001</v>
      </c>
      <c r="AF21" s="65">
        <v>3.2488000000000003E-2</v>
      </c>
      <c r="AG21" s="65">
        <v>1.5455E-2</v>
      </c>
      <c r="AH21" s="65">
        <v>0.28333900000000001</v>
      </c>
      <c r="AI21" s="65">
        <v>0.71583300000000005</v>
      </c>
      <c r="AJ21" s="65">
        <v>0.416796</v>
      </c>
      <c r="AK21" s="65">
        <v>0.68034899999999998</v>
      </c>
      <c r="AL21">
        <v>4.1890080428954434E-3</v>
      </c>
      <c r="AM21">
        <v>6.546702996597617E-2</v>
      </c>
      <c r="AN21">
        <v>5.6605988773844396E-3</v>
      </c>
      <c r="AO21">
        <v>2.6809651474530832E-3</v>
      </c>
      <c r="AP21">
        <v>6.546702996597617E-2</v>
      </c>
      <c r="AQ21">
        <v>3.8966003339814953E-2</v>
      </c>
      <c r="AR21">
        <v>3.1099195710455759E-3</v>
      </c>
      <c r="AS21">
        <v>5.1064759024762582E-2</v>
      </c>
      <c r="AT21">
        <v>0.80470412647522171</v>
      </c>
      <c r="AU21">
        <v>0</v>
      </c>
      <c r="AV21">
        <v>0</v>
      </c>
      <c r="AW21">
        <v>8.882788825575029E-2</v>
      </c>
      <c r="AY21">
        <f t="shared" si="1"/>
        <v>0.41890080428954435</v>
      </c>
      <c r="AZ21">
        <f t="shared" si="2"/>
        <v>6.5467029965976167</v>
      </c>
      <c r="BA21">
        <f t="shared" si="3"/>
        <v>0.56605988773844396</v>
      </c>
      <c r="BB21">
        <f t="shared" si="4"/>
        <v>0.26809651474530832</v>
      </c>
      <c r="BC21">
        <f t="shared" si="5"/>
        <v>6.5467029965976167</v>
      </c>
      <c r="BD21">
        <f t="shared" si="6"/>
        <v>3.8966003339814952</v>
      </c>
      <c r="BE21">
        <f t="shared" si="7"/>
        <v>0.31099195710455757</v>
      </c>
      <c r="BF21">
        <f t="shared" si="8"/>
        <v>5.1064759024762578</v>
      </c>
      <c r="BG21">
        <f t="shared" si="9"/>
        <v>80.470412647522167</v>
      </c>
      <c r="BH21">
        <f t="shared" si="10"/>
        <v>0</v>
      </c>
      <c r="BI21">
        <f t="shared" si="11"/>
        <v>0</v>
      </c>
      <c r="BJ21">
        <f t="shared" si="12"/>
        <v>8.8827888255750285</v>
      </c>
    </row>
    <row r="22" spans="1:62" ht="15.6" thickBot="1">
      <c r="A22" s="7" t="s">
        <v>89</v>
      </c>
      <c r="B22" s="9" t="s">
        <v>90</v>
      </c>
      <c r="C22" s="38" t="s">
        <v>51</v>
      </c>
      <c r="D22" s="35">
        <v>30.256410256410255</v>
      </c>
      <c r="E22" s="10">
        <v>23.8</v>
      </c>
      <c r="F22" s="10">
        <v>6.666666666666667</v>
      </c>
      <c r="G22" s="10">
        <v>63.076923076923073</v>
      </c>
      <c r="H22" s="11">
        <v>12.589259375000001</v>
      </c>
      <c r="I22" s="12">
        <v>33</v>
      </c>
      <c r="J22" s="14">
        <v>11.5</v>
      </c>
      <c r="K22" s="14">
        <v>93</v>
      </c>
      <c r="L22" s="15">
        <v>47</v>
      </c>
      <c r="M22" s="13">
        <v>60</v>
      </c>
      <c r="N22" s="15">
        <v>83</v>
      </c>
      <c r="O22" s="16">
        <v>34</v>
      </c>
      <c r="P22" s="15">
        <v>56.999999999999993</v>
      </c>
      <c r="Q22" s="15">
        <v>77</v>
      </c>
      <c r="R22" s="22">
        <v>54</v>
      </c>
      <c r="S22" s="10">
        <v>79</v>
      </c>
      <c r="T22" s="42">
        <v>75.800274403850807</v>
      </c>
      <c r="U22" s="65">
        <v>0.44829799999999997</v>
      </c>
      <c r="V22" s="65">
        <v>0.30420999999999998</v>
      </c>
      <c r="W22" s="65">
        <v>0.65773400000000004</v>
      </c>
      <c r="X22" s="65">
        <v>0.75499300000000003</v>
      </c>
      <c r="Y22" s="65">
        <v>0.94415700000000002</v>
      </c>
      <c r="Z22" s="65">
        <v>0.83869400000000005</v>
      </c>
      <c r="AA22" s="65">
        <v>0.63617900000000005</v>
      </c>
      <c r="AB22" s="65">
        <v>0.62948099999999996</v>
      </c>
      <c r="AC22" s="65">
        <v>0.51371800000000001</v>
      </c>
      <c r="AD22" s="65">
        <v>0.13552700000000001</v>
      </c>
      <c r="AE22" s="65">
        <v>0.28413100000000002</v>
      </c>
      <c r="AF22" s="65">
        <v>5.7936000000000001E-2</v>
      </c>
      <c r="AG22" s="65">
        <v>4.4240000000000002E-2</v>
      </c>
      <c r="AH22" s="65">
        <v>0.40876000000000001</v>
      </c>
      <c r="AI22" s="65">
        <v>0.93732400000000005</v>
      </c>
      <c r="AJ22" s="65">
        <v>0.68225499999999994</v>
      </c>
      <c r="AK22" s="65">
        <v>0.51158800000000004</v>
      </c>
      <c r="AL22">
        <v>0</v>
      </c>
      <c r="AM22">
        <v>0</v>
      </c>
      <c r="AN22">
        <v>0.37925543108751247</v>
      </c>
      <c r="AO22">
        <v>6.1953070549059083E-4</v>
      </c>
      <c r="AP22">
        <v>0.10303314308438449</v>
      </c>
      <c r="AQ22">
        <v>2.4017132545991429E-2</v>
      </c>
      <c r="AR22">
        <v>5.9474947727096732E-4</v>
      </c>
      <c r="AS22">
        <v>0.40183300097028651</v>
      </c>
      <c r="AT22">
        <v>0.34122284022248012</v>
      </c>
      <c r="AU22">
        <v>4.5432251735976663E-3</v>
      </c>
      <c r="AV22">
        <v>0.25799648172524292</v>
      </c>
      <c r="AW22">
        <v>0.31364493910403102</v>
      </c>
      <c r="AY22">
        <f t="shared" si="1"/>
        <v>0</v>
      </c>
      <c r="AZ22">
        <f t="shared" si="2"/>
        <v>0</v>
      </c>
      <c r="BA22">
        <f t="shared" si="3"/>
        <v>37.925543108751249</v>
      </c>
      <c r="BB22">
        <f t="shared" si="4"/>
        <v>6.1953070549059082E-2</v>
      </c>
      <c r="BC22">
        <f t="shared" si="5"/>
        <v>10.303314308438448</v>
      </c>
      <c r="BD22">
        <f t="shared" si="6"/>
        <v>2.4017132545991431</v>
      </c>
      <c r="BE22">
        <f t="shared" si="7"/>
        <v>5.947494772709673E-2</v>
      </c>
      <c r="BF22">
        <f t="shared" si="8"/>
        <v>40.183300097028649</v>
      </c>
      <c r="BG22">
        <f t="shared" si="9"/>
        <v>34.12228402224801</v>
      </c>
      <c r="BH22">
        <f t="shared" si="10"/>
        <v>0.45432251735976664</v>
      </c>
      <c r="BI22">
        <f t="shared" si="11"/>
        <v>25.799648172524293</v>
      </c>
      <c r="BJ22">
        <f t="shared" si="12"/>
        <v>31.364493910403102</v>
      </c>
    </row>
    <row r="23" spans="1:62" ht="15.6" thickBot="1">
      <c r="A23" s="6" t="s">
        <v>91</v>
      </c>
      <c r="B23" s="17" t="s">
        <v>92</v>
      </c>
      <c r="C23" s="37" t="s">
        <v>63</v>
      </c>
      <c r="D23" s="35">
        <v>40.963855421686745</v>
      </c>
      <c r="E23" s="10">
        <v>95.5</v>
      </c>
      <c r="F23" s="10">
        <v>16.265060240963855</v>
      </c>
      <c r="G23" s="10">
        <v>42.771084337349393</v>
      </c>
      <c r="H23" s="11">
        <v>6.8012770833333329</v>
      </c>
      <c r="I23" s="12">
        <v>40.4</v>
      </c>
      <c r="J23" s="14">
        <v>7.6</v>
      </c>
      <c r="K23" s="14">
        <v>95</v>
      </c>
      <c r="L23" s="15">
        <v>37</v>
      </c>
      <c r="M23" s="13">
        <v>68</v>
      </c>
      <c r="N23" s="15">
        <v>84</v>
      </c>
      <c r="O23" s="16">
        <v>42</v>
      </c>
      <c r="P23" s="15">
        <v>75</v>
      </c>
      <c r="Q23" s="15">
        <v>70</v>
      </c>
      <c r="R23" s="22">
        <v>74</v>
      </c>
      <c r="S23" s="10">
        <v>94</v>
      </c>
      <c r="T23" s="42">
        <v>75.800274403850807</v>
      </c>
      <c r="U23" s="65">
        <v>0.22301699999999999</v>
      </c>
      <c r="V23" s="65">
        <v>0.21532999999999999</v>
      </c>
      <c r="W23" s="65">
        <v>0.17616299999999999</v>
      </c>
      <c r="X23" s="65">
        <v>0.822403</v>
      </c>
      <c r="Y23" s="65">
        <v>0.84348100000000004</v>
      </c>
      <c r="Z23" s="65">
        <v>0.80755399999999999</v>
      </c>
      <c r="AA23" s="65">
        <v>0.130909</v>
      </c>
      <c r="AB23" s="65">
        <v>0.16431799999999999</v>
      </c>
      <c r="AC23" s="65">
        <v>0.11158999999999999</v>
      </c>
      <c r="AD23" s="65">
        <v>6.5995999999999999E-2</v>
      </c>
      <c r="AE23" s="65">
        <v>0.140596</v>
      </c>
      <c r="AF23" s="65">
        <v>7.9685000000000006E-2</v>
      </c>
      <c r="AG23" s="65">
        <v>0</v>
      </c>
      <c r="AH23" s="65">
        <v>0.42233799999999999</v>
      </c>
      <c r="AI23" s="65">
        <v>0.88973400000000002</v>
      </c>
      <c r="AJ23" s="65">
        <v>0.21371499999999999</v>
      </c>
      <c r="AK23" s="65">
        <v>0.130632</v>
      </c>
      <c r="AL23">
        <v>0</v>
      </c>
      <c r="AM23">
        <v>0</v>
      </c>
      <c r="AN23">
        <v>6.7787418655097617E-2</v>
      </c>
      <c r="AO23">
        <v>0</v>
      </c>
      <c r="AP23">
        <v>0</v>
      </c>
      <c r="AQ23">
        <v>3.4815910871268167E-2</v>
      </c>
      <c r="AR23">
        <v>3.7037037037037041E-4</v>
      </c>
      <c r="AS23">
        <v>0.25177877307114838</v>
      </c>
      <c r="AT23">
        <v>6.9783945749881712E-2</v>
      </c>
      <c r="AU23">
        <v>4.2438271604938269E-3</v>
      </c>
      <c r="AV23">
        <v>0.26942385463863339</v>
      </c>
      <c r="AW23">
        <v>0.17645592268320939</v>
      </c>
      <c r="AY23">
        <f t="shared" si="1"/>
        <v>0</v>
      </c>
      <c r="AZ23">
        <f t="shared" si="2"/>
        <v>0</v>
      </c>
      <c r="BA23">
        <f t="shared" si="3"/>
        <v>6.7787418655097618</v>
      </c>
      <c r="BB23">
        <f t="shared" si="4"/>
        <v>0</v>
      </c>
      <c r="BC23">
        <f t="shared" si="5"/>
        <v>0</v>
      </c>
      <c r="BD23">
        <f t="shared" si="6"/>
        <v>3.4815910871268168</v>
      </c>
      <c r="BE23">
        <f t="shared" si="7"/>
        <v>3.7037037037037042E-2</v>
      </c>
      <c r="BF23">
        <f t="shared" si="8"/>
        <v>25.177877307114837</v>
      </c>
      <c r="BG23">
        <f t="shared" si="9"/>
        <v>6.9783945749881715</v>
      </c>
      <c r="BH23">
        <f t="shared" si="10"/>
        <v>0.42438271604938271</v>
      </c>
      <c r="BI23">
        <f t="shared" si="11"/>
        <v>26.942385463863339</v>
      </c>
      <c r="BJ23">
        <f t="shared" si="12"/>
        <v>17.645592268320939</v>
      </c>
    </row>
    <row r="24" spans="1:62" ht="15.6" thickBot="1">
      <c r="A24" s="7" t="s">
        <v>93</v>
      </c>
      <c r="B24" s="19" t="s">
        <v>62</v>
      </c>
      <c r="C24" s="38" t="s">
        <v>60</v>
      </c>
      <c r="D24" s="35">
        <v>36.068895643363732</v>
      </c>
      <c r="E24" s="10">
        <v>182.1</v>
      </c>
      <c r="F24" s="10">
        <v>37.08206686930091</v>
      </c>
      <c r="G24" s="10">
        <v>26.849037487335359</v>
      </c>
      <c r="H24" s="11">
        <v>1.5445983606557376</v>
      </c>
      <c r="I24" s="12"/>
      <c r="J24" s="14"/>
      <c r="K24" s="14"/>
      <c r="L24" s="15">
        <v>0</v>
      </c>
      <c r="M24" s="15"/>
      <c r="N24" s="15">
        <v>0</v>
      </c>
      <c r="O24" s="15">
        <v>0</v>
      </c>
      <c r="P24" s="15">
        <v>0</v>
      </c>
      <c r="Q24" s="15">
        <v>0</v>
      </c>
      <c r="R24" s="22">
        <v>71</v>
      </c>
      <c r="S24" s="10">
        <v>95</v>
      </c>
      <c r="T24" s="42">
        <v>76.800274403850807</v>
      </c>
      <c r="U24" s="65">
        <v>1.5996E-2</v>
      </c>
      <c r="V24" s="65">
        <v>5.0977000000000001E-2</v>
      </c>
      <c r="W24" s="65">
        <v>3.7194999999999999E-2</v>
      </c>
      <c r="X24" s="65">
        <v>0.97928000000000004</v>
      </c>
      <c r="Y24" s="65">
        <v>0.93962999999999997</v>
      </c>
      <c r="Z24" s="65">
        <v>0.326602</v>
      </c>
      <c r="AA24" s="65">
        <v>0</v>
      </c>
      <c r="AB24" s="65">
        <v>0.21823300000000001</v>
      </c>
      <c r="AC24" s="65">
        <v>8.7337999999999999E-2</v>
      </c>
      <c r="AD24" s="65">
        <v>4.6836999999999997E-2</v>
      </c>
      <c r="AE24" s="65">
        <v>0.10313799999999999</v>
      </c>
      <c r="AF24" s="65">
        <v>5.3402999999999999E-2</v>
      </c>
      <c r="AG24" s="65">
        <v>0</v>
      </c>
      <c r="AH24" s="65">
        <v>5.0500999999999997E-2</v>
      </c>
      <c r="AI24" s="65">
        <v>0.78399399999999997</v>
      </c>
      <c r="AJ24" s="65">
        <v>0</v>
      </c>
      <c r="AK24" s="65">
        <v>0.54639199999999999</v>
      </c>
      <c r="AL24">
        <v>0</v>
      </c>
      <c r="AM24">
        <v>0</v>
      </c>
      <c r="AN24">
        <v>1.718554275763038E-3</v>
      </c>
      <c r="AO24">
        <v>0</v>
      </c>
      <c r="AP24">
        <v>0</v>
      </c>
      <c r="AQ24">
        <v>1.6549816787398599E-3</v>
      </c>
      <c r="AR24">
        <v>0.14702702702702711</v>
      </c>
      <c r="AS24">
        <v>2.3269964851182792E-2</v>
      </c>
      <c r="AT24">
        <v>6.8817732130045689E-2</v>
      </c>
      <c r="AU24">
        <v>0</v>
      </c>
      <c r="AV24">
        <v>0</v>
      </c>
      <c r="AW24">
        <v>0</v>
      </c>
      <c r="AY24">
        <f t="shared" si="1"/>
        <v>0</v>
      </c>
      <c r="AZ24">
        <f t="shared" si="2"/>
        <v>0</v>
      </c>
      <c r="BA24">
        <f t="shared" si="3"/>
        <v>0.17185542757630379</v>
      </c>
      <c r="BB24">
        <f t="shared" si="4"/>
        <v>0</v>
      </c>
      <c r="BC24">
        <f t="shared" si="5"/>
        <v>0</v>
      </c>
      <c r="BD24">
        <f t="shared" si="6"/>
        <v>0.165498167873986</v>
      </c>
      <c r="BE24">
        <f t="shared" si="7"/>
        <v>14.702702702702711</v>
      </c>
      <c r="BF24">
        <f t="shared" si="8"/>
        <v>2.3269964851182792</v>
      </c>
      <c r="BG24">
        <f t="shared" si="9"/>
        <v>6.8817732130045686</v>
      </c>
      <c r="BH24">
        <f t="shared" si="10"/>
        <v>0</v>
      </c>
      <c r="BI24">
        <f t="shared" si="11"/>
        <v>0</v>
      </c>
      <c r="BJ24">
        <f t="shared" si="12"/>
        <v>0</v>
      </c>
    </row>
    <row r="25" spans="1:62" ht="15.6" thickBot="1">
      <c r="A25" s="6" t="s">
        <v>94</v>
      </c>
      <c r="B25" s="17" t="s">
        <v>95</v>
      </c>
      <c r="C25" s="37" t="s">
        <v>60</v>
      </c>
      <c r="D25" s="35">
        <v>36.068895643363732</v>
      </c>
      <c r="E25" s="10">
        <v>182.1</v>
      </c>
      <c r="F25" s="10">
        <v>37.08206686930091</v>
      </c>
      <c r="G25" s="10">
        <v>26.849037487335359</v>
      </c>
      <c r="H25" s="11">
        <v>15.451157746478875</v>
      </c>
      <c r="I25" s="12">
        <v>79.3</v>
      </c>
      <c r="J25" s="14">
        <v>9.1</v>
      </c>
      <c r="K25" s="14">
        <v>95</v>
      </c>
      <c r="L25" s="15">
        <v>17</v>
      </c>
      <c r="M25" s="13">
        <v>72</v>
      </c>
      <c r="N25" s="15">
        <v>75</v>
      </c>
      <c r="O25" s="16">
        <v>32</v>
      </c>
      <c r="P25" s="15">
        <v>75</v>
      </c>
      <c r="Q25" s="15">
        <v>81</v>
      </c>
      <c r="R25" s="22">
        <v>71</v>
      </c>
      <c r="S25" s="10">
        <v>92</v>
      </c>
      <c r="T25" s="42">
        <v>41.621841630017499</v>
      </c>
      <c r="U25" s="65">
        <v>0</v>
      </c>
      <c r="V25" s="65">
        <v>1.7184999999999999E-2</v>
      </c>
      <c r="W25" s="65">
        <v>3.5270000000000003E-2</v>
      </c>
      <c r="X25" s="65">
        <v>1</v>
      </c>
      <c r="Y25" s="65">
        <v>0.97945800000000005</v>
      </c>
      <c r="Z25" s="65">
        <v>0.115797</v>
      </c>
      <c r="AA25" s="65">
        <v>2.6866999999999999E-2</v>
      </c>
      <c r="AB25" s="65">
        <v>0.184002</v>
      </c>
      <c r="AC25" s="65">
        <v>6.5808000000000005E-2</v>
      </c>
      <c r="AD25" s="65">
        <v>2.4438999999999999E-2</v>
      </c>
      <c r="AE25" s="65">
        <v>0.312199</v>
      </c>
      <c r="AF25" s="65">
        <v>0.10423</v>
      </c>
      <c r="AG25" s="65">
        <v>2.5455999999999999E-2</v>
      </c>
      <c r="AH25" s="65">
        <v>0</v>
      </c>
      <c r="AI25" s="65">
        <v>0.84587100000000004</v>
      </c>
      <c r="AJ25" s="65">
        <v>0.22980900000000001</v>
      </c>
      <c r="AK25" s="65">
        <v>0.74381699999999995</v>
      </c>
      <c r="AL25">
        <v>0</v>
      </c>
      <c r="AM25">
        <v>0</v>
      </c>
      <c r="AN25">
        <v>8.5988268907100543E-5</v>
      </c>
      <c r="AO25">
        <v>0.20779220779220781</v>
      </c>
      <c r="AP25">
        <v>3.8464405427135091E-3</v>
      </c>
      <c r="AQ25">
        <v>4.8580340750606736E-3</v>
      </c>
      <c r="AR25">
        <v>0.37818181818181817</v>
      </c>
      <c r="AS25">
        <v>9.0007547089957628E-3</v>
      </c>
      <c r="AT25">
        <v>0.1606878687744078</v>
      </c>
      <c r="AU25">
        <v>0</v>
      </c>
      <c r="AV25">
        <v>0</v>
      </c>
      <c r="AW25">
        <v>0</v>
      </c>
      <c r="AY25">
        <f t="shared" si="1"/>
        <v>0</v>
      </c>
      <c r="AZ25">
        <f t="shared" si="2"/>
        <v>0</v>
      </c>
      <c r="BA25">
        <f t="shared" si="3"/>
        <v>8.5988268907100547E-3</v>
      </c>
      <c r="BB25">
        <f t="shared" si="4"/>
        <v>20.779220779220779</v>
      </c>
      <c r="BC25">
        <f t="shared" si="5"/>
        <v>0.3846440542713509</v>
      </c>
      <c r="BD25">
        <f t="shared" si="6"/>
        <v>0.48580340750606738</v>
      </c>
      <c r="BE25">
        <f t="shared" si="7"/>
        <v>37.81818181818182</v>
      </c>
      <c r="BF25">
        <f t="shared" si="8"/>
        <v>0.90007547089957629</v>
      </c>
      <c r="BG25">
        <f t="shared" si="9"/>
        <v>16.068786877440779</v>
      </c>
      <c r="BH25">
        <f t="shared" si="10"/>
        <v>0</v>
      </c>
      <c r="BI25">
        <f t="shared" si="11"/>
        <v>0</v>
      </c>
      <c r="BJ25">
        <f t="shared" si="12"/>
        <v>0</v>
      </c>
    </row>
    <row r="26" spans="1:62" ht="15.6" thickBot="1">
      <c r="A26" s="7" t="s">
        <v>96</v>
      </c>
      <c r="B26" s="19" t="s">
        <v>97</v>
      </c>
      <c r="C26" s="38" t="s">
        <v>98</v>
      </c>
      <c r="D26" s="35">
        <v>29.411764705882355</v>
      </c>
      <c r="E26" s="10">
        <v>50.2</v>
      </c>
      <c r="F26" s="10">
        <v>19.485294117647058</v>
      </c>
      <c r="G26" s="10">
        <v>51.102941176470587</v>
      </c>
      <c r="H26" s="11">
        <v>8.9917793103448282</v>
      </c>
      <c r="I26" s="12">
        <v>33.1</v>
      </c>
      <c r="J26" s="14">
        <v>13.3</v>
      </c>
      <c r="K26" s="14">
        <v>96</v>
      </c>
      <c r="L26" s="15">
        <v>25</v>
      </c>
      <c r="M26" s="13">
        <v>75</v>
      </c>
      <c r="N26" s="15">
        <v>80</v>
      </c>
      <c r="O26" s="16">
        <v>28.999999999999996</v>
      </c>
      <c r="P26" s="15">
        <v>82</v>
      </c>
      <c r="Q26" s="15">
        <v>76</v>
      </c>
      <c r="R26" s="22">
        <v>60</v>
      </c>
      <c r="S26" s="10">
        <v>100</v>
      </c>
      <c r="T26" s="42">
        <v>68.587742699436205</v>
      </c>
      <c r="U26" s="65">
        <v>0.27294099999999999</v>
      </c>
      <c r="V26" s="65">
        <v>0.18498300000000001</v>
      </c>
      <c r="W26" s="65">
        <v>0.42163600000000001</v>
      </c>
      <c r="X26" s="65">
        <v>0.70805799999999997</v>
      </c>
      <c r="Y26" s="65">
        <v>0.92152400000000001</v>
      </c>
      <c r="Z26" s="65">
        <v>0.89283999999999997</v>
      </c>
      <c r="AA26" s="65">
        <v>0.33895599999999998</v>
      </c>
      <c r="AB26" s="65">
        <v>0.45451799999999998</v>
      </c>
      <c r="AC26" s="65">
        <v>0.40820899999999999</v>
      </c>
      <c r="AD26" s="65">
        <v>0.116979</v>
      </c>
      <c r="AE26" s="65">
        <v>0.37551400000000001</v>
      </c>
      <c r="AF26" s="65">
        <v>8.8081999999999994E-2</v>
      </c>
      <c r="AG26" s="65">
        <v>3.7831999999999998E-2</v>
      </c>
      <c r="AH26" s="65">
        <v>0.34403800000000001</v>
      </c>
      <c r="AI26" s="65">
        <v>0.93909500000000001</v>
      </c>
      <c r="AJ26" s="65">
        <v>0.66601200000000005</v>
      </c>
      <c r="AK26" s="65">
        <v>0.26403399999999999</v>
      </c>
      <c r="AL26">
        <v>2.607154030660132E-3</v>
      </c>
      <c r="AM26">
        <v>0.12666363079568471</v>
      </c>
      <c r="AN26">
        <v>0.14895961424209339</v>
      </c>
      <c r="AO26">
        <v>0</v>
      </c>
      <c r="AP26">
        <v>0</v>
      </c>
      <c r="AQ26">
        <v>2.5612979016760979E-2</v>
      </c>
      <c r="AR26">
        <v>5.0057357388674523E-4</v>
      </c>
      <c r="AS26">
        <v>0.1975971045927894</v>
      </c>
      <c r="AT26">
        <v>0.2090128242345588</v>
      </c>
      <c r="AU26">
        <v>0</v>
      </c>
      <c r="AV26">
        <v>0</v>
      </c>
      <c r="AW26">
        <v>3.65872830607549E-3</v>
      </c>
      <c r="AY26">
        <f t="shared" si="1"/>
        <v>0.26071540306601321</v>
      </c>
      <c r="AZ26">
        <f t="shared" si="2"/>
        <v>12.666363079568471</v>
      </c>
      <c r="BA26">
        <f t="shared" si="3"/>
        <v>14.895961424209339</v>
      </c>
      <c r="BB26">
        <f t="shared" si="4"/>
        <v>0</v>
      </c>
      <c r="BC26">
        <f t="shared" si="5"/>
        <v>0</v>
      </c>
      <c r="BD26">
        <f t="shared" si="6"/>
        <v>2.5612979016760979</v>
      </c>
      <c r="BE26">
        <f t="shared" si="7"/>
        <v>5.005735738867452E-2</v>
      </c>
      <c r="BF26">
        <f t="shared" si="8"/>
        <v>19.759710459278939</v>
      </c>
      <c r="BG26">
        <f t="shared" si="9"/>
        <v>20.901282423455882</v>
      </c>
      <c r="BH26">
        <f t="shared" si="10"/>
        <v>0</v>
      </c>
      <c r="BI26">
        <f t="shared" si="11"/>
        <v>0</v>
      </c>
      <c r="BJ26">
        <f t="shared" si="12"/>
        <v>0.36587283060754899</v>
      </c>
    </row>
    <row r="27" spans="1:62" ht="15.6" thickBot="1">
      <c r="A27" s="6" t="s">
        <v>99</v>
      </c>
      <c r="B27" s="17" t="s">
        <v>97</v>
      </c>
      <c r="C27" s="37" t="s">
        <v>98</v>
      </c>
      <c r="D27" s="35">
        <v>29.411764705882355</v>
      </c>
      <c r="E27" s="10">
        <v>50.2</v>
      </c>
      <c r="F27" s="10">
        <v>19.485294117647058</v>
      </c>
      <c r="G27" s="10">
        <v>51.102941176470587</v>
      </c>
      <c r="H27" s="11">
        <v>6.5658405405405409</v>
      </c>
      <c r="I27" s="12">
        <v>46.5</v>
      </c>
      <c r="J27" s="14">
        <v>12.2</v>
      </c>
      <c r="K27" s="14">
        <v>96</v>
      </c>
      <c r="L27" s="15">
        <v>25</v>
      </c>
      <c r="M27" s="13">
        <v>75</v>
      </c>
      <c r="N27" s="15">
        <v>80</v>
      </c>
      <c r="O27" s="16">
        <v>28.999999999999996</v>
      </c>
      <c r="P27" s="15">
        <v>82</v>
      </c>
      <c r="Q27" s="15">
        <v>76</v>
      </c>
      <c r="R27" s="22">
        <v>60</v>
      </c>
      <c r="S27" s="10">
        <v>100</v>
      </c>
      <c r="T27" s="42">
        <v>72.4704200489046</v>
      </c>
      <c r="U27" s="65">
        <v>0.20479800000000001</v>
      </c>
      <c r="V27" s="65">
        <v>0.23976</v>
      </c>
      <c r="W27" s="65">
        <v>0.44245899999999999</v>
      </c>
      <c r="X27" s="65">
        <v>0.92153200000000002</v>
      </c>
      <c r="Y27" s="65">
        <v>0.99564299999999994</v>
      </c>
      <c r="Z27" s="65">
        <v>0.78575499999999998</v>
      </c>
      <c r="AA27" s="65">
        <v>0.38477899999999998</v>
      </c>
      <c r="AB27" s="65">
        <v>0.54256400000000005</v>
      </c>
      <c r="AC27" s="65">
        <v>0.28130100000000002</v>
      </c>
      <c r="AD27" s="65">
        <v>6.2143999999999998E-2</v>
      </c>
      <c r="AE27" s="65">
        <v>0.57696999999999998</v>
      </c>
      <c r="AF27" s="65">
        <v>0.105327</v>
      </c>
      <c r="AG27" s="65">
        <v>0</v>
      </c>
      <c r="AH27" s="65">
        <v>0.16475899999999999</v>
      </c>
      <c r="AI27" s="65">
        <v>0.90723699999999996</v>
      </c>
      <c r="AJ27" s="65">
        <v>0.70170299999999997</v>
      </c>
      <c r="AK27" s="65">
        <v>0.21957599999999999</v>
      </c>
      <c r="AL27">
        <v>0</v>
      </c>
      <c r="AM27">
        <v>0</v>
      </c>
      <c r="AN27">
        <v>0.11097384034132531</v>
      </c>
      <c r="AO27">
        <v>0</v>
      </c>
      <c r="AP27">
        <v>0</v>
      </c>
      <c r="AQ27">
        <v>2.6111933153451131E-2</v>
      </c>
      <c r="AR27">
        <v>9.45992040932348E-4</v>
      </c>
      <c r="AS27">
        <v>0.31603154455955101</v>
      </c>
      <c r="AT27">
        <v>0.42345045540898019</v>
      </c>
      <c r="AU27">
        <v>0</v>
      </c>
      <c r="AV27">
        <v>0</v>
      </c>
      <c r="AW27">
        <v>6.3401803979453867E-3</v>
      </c>
      <c r="AY27">
        <f t="shared" si="1"/>
        <v>0</v>
      </c>
      <c r="AZ27">
        <f t="shared" si="2"/>
        <v>0</v>
      </c>
      <c r="BA27">
        <f t="shared" si="3"/>
        <v>11.097384034132531</v>
      </c>
      <c r="BB27">
        <f t="shared" si="4"/>
        <v>0</v>
      </c>
      <c r="BC27">
        <f t="shared" si="5"/>
        <v>0</v>
      </c>
      <c r="BD27">
        <f t="shared" si="6"/>
        <v>2.6111933153451132</v>
      </c>
      <c r="BE27">
        <f t="shared" si="7"/>
        <v>9.4599204093234801E-2</v>
      </c>
      <c r="BF27">
        <f t="shared" si="8"/>
        <v>31.603154455955103</v>
      </c>
      <c r="BG27">
        <f t="shared" si="9"/>
        <v>42.34504554089802</v>
      </c>
      <c r="BH27">
        <f t="shared" si="10"/>
        <v>0</v>
      </c>
      <c r="BI27">
        <f t="shared" si="11"/>
        <v>0</v>
      </c>
      <c r="BJ27">
        <f t="shared" si="12"/>
        <v>0.63401803979453863</v>
      </c>
    </row>
    <row r="28" spans="1:62" ht="15.6" thickBot="1">
      <c r="A28" s="7" t="s">
        <v>100</v>
      </c>
      <c r="B28" s="9" t="s">
        <v>101</v>
      </c>
      <c r="C28" s="38" t="s">
        <v>63</v>
      </c>
      <c r="D28" s="35">
        <v>40.963855421686745</v>
      </c>
      <c r="E28" s="10">
        <v>95.5</v>
      </c>
      <c r="F28" s="10">
        <v>16.265060240963855</v>
      </c>
      <c r="G28" s="10">
        <v>42.771084337349393</v>
      </c>
      <c r="H28" s="11">
        <v>14.583370731707317</v>
      </c>
      <c r="I28" s="12">
        <v>47.3</v>
      </c>
      <c r="J28" s="14">
        <v>6.1</v>
      </c>
      <c r="K28" s="14">
        <v>96</v>
      </c>
      <c r="L28" s="15">
        <v>37</v>
      </c>
      <c r="M28" s="13">
        <v>65</v>
      </c>
      <c r="N28" s="15">
        <v>75</v>
      </c>
      <c r="O28" s="16">
        <v>35</v>
      </c>
      <c r="P28" s="15">
        <v>81</v>
      </c>
      <c r="Q28" s="15">
        <v>91</v>
      </c>
      <c r="R28" s="22">
        <v>74</v>
      </c>
      <c r="S28" s="10">
        <v>97</v>
      </c>
      <c r="T28" s="42">
        <v>65.566402393966996</v>
      </c>
      <c r="U28" s="65">
        <v>0.23802400000000001</v>
      </c>
      <c r="V28" s="65">
        <v>0.206092</v>
      </c>
      <c r="W28" s="65">
        <v>0.26167200000000002</v>
      </c>
      <c r="X28" s="65">
        <v>0.77220500000000003</v>
      </c>
      <c r="Y28" s="65">
        <v>0.90745200000000004</v>
      </c>
      <c r="Z28" s="65">
        <v>0.86084499999999997</v>
      </c>
      <c r="AA28" s="65">
        <v>0.26130199999999998</v>
      </c>
      <c r="AB28" s="65">
        <v>0.28109000000000001</v>
      </c>
      <c r="AC28" s="65">
        <v>0.21901200000000001</v>
      </c>
      <c r="AD28" s="65">
        <v>7.8989000000000004E-2</v>
      </c>
      <c r="AE28" s="65">
        <v>0.23735000000000001</v>
      </c>
      <c r="AF28" s="65">
        <v>7.2497000000000006E-2</v>
      </c>
      <c r="AG28" s="65">
        <v>8.0370000000000007E-3</v>
      </c>
      <c r="AH28" s="65">
        <v>0.33432099999999998</v>
      </c>
      <c r="AI28" s="65">
        <v>0.93308000000000002</v>
      </c>
      <c r="AJ28" s="65">
        <v>0.39874599999999999</v>
      </c>
      <c r="AK28" s="65">
        <v>0.171844</v>
      </c>
      <c r="AL28">
        <v>0</v>
      </c>
      <c r="AM28">
        <v>0</v>
      </c>
      <c r="AN28">
        <v>2.9260756253998961E-3</v>
      </c>
      <c r="AO28">
        <v>0</v>
      </c>
      <c r="AP28">
        <v>0</v>
      </c>
      <c r="AQ28">
        <v>1.4089172564811759E-3</v>
      </c>
      <c r="AR28">
        <v>5.4258510499543503E-4</v>
      </c>
      <c r="AS28">
        <v>7.347246290262481E-2</v>
      </c>
      <c r="AT28">
        <v>8.9831619958724698E-2</v>
      </c>
      <c r="AU28">
        <v>7.6518412242945963E-3</v>
      </c>
      <c r="AV28">
        <v>0.1179323057513592</v>
      </c>
      <c r="AW28">
        <v>0.2424412003680525</v>
      </c>
      <c r="AY28">
        <f t="shared" si="1"/>
        <v>0</v>
      </c>
      <c r="AZ28">
        <f t="shared" si="2"/>
        <v>0</v>
      </c>
      <c r="BA28">
        <f t="shared" si="3"/>
        <v>0.2926075625399896</v>
      </c>
      <c r="BB28">
        <f t="shared" si="4"/>
        <v>0</v>
      </c>
      <c r="BC28">
        <f t="shared" si="5"/>
        <v>0</v>
      </c>
      <c r="BD28">
        <f t="shared" si="6"/>
        <v>0.14089172564811758</v>
      </c>
      <c r="BE28">
        <f t="shared" si="7"/>
        <v>5.42585104995435E-2</v>
      </c>
      <c r="BF28">
        <f t="shared" si="8"/>
        <v>7.3472462902624809</v>
      </c>
      <c r="BG28">
        <f t="shared" si="9"/>
        <v>8.9831619958724698</v>
      </c>
      <c r="BH28">
        <f t="shared" si="10"/>
        <v>0.76518412242945966</v>
      </c>
      <c r="BI28">
        <f t="shared" si="11"/>
        <v>11.793230575135921</v>
      </c>
      <c r="BJ28">
        <f t="shared" si="12"/>
        <v>24.244120036805249</v>
      </c>
    </row>
    <row r="29" spans="1:62" ht="15.6" thickBot="1">
      <c r="A29" s="6" t="s">
        <v>102</v>
      </c>
      <c r="B29" s="17" t="s">
        <v>101</v>
      </c>
      <c r="C29" s="37" t="s">
        <v>63</v>
      </c>
      <c r="D29" s="35">
        <v>40.963855421686745</v>
      </c>
      <c r="E29" s="10">
        <v>95.5</v>
      </c>
      <c r="F29" s="10">
        <v>16.265060240963855</v>
      </c>
      <c r="G29" s="10">
        <v>42.771084337349393</v>
      </c>
      <c r="H29" s="11">
        <v>37.04</v>
      </c>
      <c r="I29" s="12">
        <v>47.8</v>
      </c>
      <c r="J29" s="14">
        <v>7.9</v>
      </c>
      <c r="K29" s="14">
        <v>96</v>
      </c>
      <c r="L29" s="15">
        <v>37</v>
      </c>
      <c r="M29" s="13">
        <v>65</v>
      </c>
      <c r="N29" s="15">
        <v>75</v>
      </c>
      <c r="O29" s="16">
        <v>35</v>
      </c>
      <c r="P29" s="15">
        <v>81</v>
      </c>
      <c r="Q29" s="15">
        <v>91</v>
      </c>
      <c r="R29" s="22">
        <v>74</v>
      </c>
      <c r="S29" s="10">
        <v>97</v>
      </c>
      <c r="T29" s="42">
        <v>61.9665118318769</v>
      </c>
      <c r="U29" s="65">
        <v>0.26842700000000003</v>
      </c>
      <c r="V29" s="65">
        <v>0.25042599999999998</v>
      </c>
      <c r="W29" s="65">
        <v>0.19075500000000001</v>
      </c>
      <c r="X29" s="65">
        <v>0.75159600000000004</v>
      </c>
      <c r="Y29" s="65">
        <v>0.84821199999999997</v>
      </c>
      <c r="Z29" s="65">
        <v>0.79115800000000003</v>
      </c>
      <c r="AA29" s="65">
        <v>3.4086999999999999E-2</v>
      </c>
      <c r="AB29" s="65">
        <v>0.35837400000000003</v>
      </c>
      <c r="AC29" s="65">
        <v>0.29335600000000001</v>
      </c>
      <c r="AD29" s="65">
        <v>0.142928</v>
      </c>
      <c r="AE29" s="65">
        <v>0.38721499999999998</v>
      </c>
      <c r="AF29" s="65">
        <v>0.16724800000000001</v>
      </c>
      <c r="AG29" s="65">
        <v>7.1289999999999999E-3</v>
      </c>
      <c r="AH29" s="65">
        <v>0.40985700000000003</v>
      </c>
      <c r="AI29" s="65">
        <v>0.90971100000000005</v>
      </c>
      <c r="AJ29" s="65">
        <v>0.26545099999999999</v>
      </c>
      <c r="AK29" s="65">
        <v>0.247916</v>
      </c>
      <c r="AL29">
        <v>0</v>
      </c>
      <c r="AM29">
        <v>0</v>
      </c>
      <c r="AN29">
        <v>1.575250490651792E-2</v>
      </c>
      <c r="AO29">
        <v>0</v>
      </c>
      <c r="AP29">
        <v>0</v>
      </c>
      <c r="AQ29">
        <v>4.5592264236184507E-4</v>
      </c>
      <c r="AR29">
        <v>7.768975210835676E-4</v>
      </c>
      <c r="AS29">
        <v>8.0734262496780951E-2</v>
      </c>
      <c r="AT29">
        <v>0.1011106855610877</v>
      </c>
      <c r="AU29">
        <v>0</v>
      </c>
      <c r="AV29">
        <v>0</v>
      </c>
      <c r="AW29">
        <v>5.8961664945210213E-2</v>
      </c>
      <c r="AY29">
        <f t="shared" si="1"/>
        <v>0</v>
      </c>
      <c r="AZ29">
        <f t="shared" si="2"/>
        <v>0</v>
      </c>
      <c r="BA29">
        <f t="shared" si="3"/>
        <v>1.5752504906517921</v>
      </c>
      <c r="BB29">
        <f t="shared" si="4"/>
        <v>0</v>
      </c>
      <c r="BC29">
        <f t="shared" si="5"/>
        <v>0</v>
      </c>
      <c r="BD29">
        <f t="shared" si="6"/>
        <v>4.559226423618451E-2</v>
      </c>
      <c r="BE29">
        <f t="shared" si="7"/>
        <v>7.7689752108356755E-2</v>
      </c>
      <c r="BF29">
        <f t="shared" si="8"/>
        <v>8.0734262496780946</v>
      </c>
      <c r="BG29">
        <f t="shared" si="9"/>
        <v>10.111068556108769</v>
      </c>
      <c r="BH29">
        <f t="shared" si="10"/>
        <v>0</v>
      </c>
      <c r="BI29">
        <f t="shared" si="11"/>
        <v>0</v>
      </c>
      <c r="BJ29">
        <f t="shared" si="12"/>
        <v>5.8961664945210215</v>
      </c>
    </row>
    <row r="30" spans="1:62" ht="15.6" thickBot="1">
      <c r="A30" s="7" t="s">
        <v>103</v>
      </c>
      <c r="B30" s="9" t="s">
        <v>101</v>
      </c>
      <c r="C30" s="38" t="s">
        <v>63</v>
      </c>
      <c r="D30" s="35">
        <v>40.963855421686745</v>
      </c>
      <c r="E30" s="10">
        <v>95.5</v>
      </c>
      <c r="F30" s="10">
        <v>16.265060240963855</v>
      </c>
      <c r="G30" s="10">
        <v>42.771084337349393</v>
      </c>
      <c r="H30" s="11">
        <v>21.487609523809525</v>
      </c>
      <c r="I30" s="12">
        <v>44.6</v>
      </c>
      <c r="J30" s="14">
        <v>6.9</v>
      </c>
      <c r="K30" s="14">
        <v>96</v>
      </c>
      <c r="L30" s="15">
        <v>37</v>
      </c>
      <c r="M30" s="13">
        <v>65</v>
      </c>
      <c r="N30" s="15">
        <v>75</v>
      </c>
      <c r="O30" s="16">
        <v>35</v>
      </c>
      <c r="P30" s="15">
        <v>81</v>
      </c>
      <c r="Q30" s="15">
        <v>91</v>
      </c>
      <c r="R30" s="22">
        <v>74</v>
      </c>
      <c r="S30" s="10">
        <v>97</v>
      </c>
      <c r="T30" s="42">
        <v>49.540522856752503</v>
      </c>
      <c r="U30" s="65">
        <v>0.35492800000000002</v>
      </c>
      <c r="V30" s="65">
        <v>0.31354700000000002</v>
      </c>
      <c r="W30" s="65">
        <v>0.494143</v>
      </c>
      <c r="X30" s="65">
        <v>0.78604499999999999</v>
      </c>
      <c r="Y30" s="65">
        <v>0.91771199999999997</v>
      </c>
      <c r="Z30" s="65">
        <v>0.911968</v>
      </c>
      <c r="AA30" s="65">
        <v>0.23529900000000001</v>
      </c>
      <c r="AB30" s="65">
        <v>4.1695000000000003E-2</v>
      </c>
      <c r="AC30" s="65">
        <v>2.8580000000000001E-2</v>
      </c>
      <c r="AD30" s="65">
        <v>8.4229999999999999E-3</v>
      </c>
      <c r="AE30" s="65">
        <v>0.32336700000000002</v>
      </c>
      <c r="AF30" s="65">
        <v>9.5348000000000002E-2</v>
      </c>
      <c r="AG30" s="65">
        <v>0</v>
      </c>
      <c r="AH30" s="65">
        <v>0.40704600000000002</v>
      </c>
      <c r="AI30" s="65">
        <v>0.95706400000000003</v>
      </c>
      <c r="AJ30" s="65">
        <v>0.47801500000000002</v>
      </c>
      <c r="AK30" s="65">
        <v>8.3925E-2</v>
      </c>
      <c r="AL30">
        <v>1.1565507031828281E-3</v>
      </c>
      <c r="AM30">
        <v>8.6010181180458792E-2</v>
      </c>
      <c r="AN30">
        <v>4.288291049702915E-2</v>
      </c>
      <c r="AO30">
        <v>0</v>
      </c>
      <c r="AP30">
        <v>0</v>
      </c>
      <c r="AQ30">
        <v>5.6765072072719846E-4</v>
      </c>
      <c r="AR30">
        <v>1.184307920059215E-4</v>
      </c>
      <c r="AS30">
        <v>0.2012656986855326</v>
      </c>
      <c r="AT30">
        <v>8.130318218906632E-2</v>
      </c>
      <c r="AU30">
        <v>2.7140389834690352E-3</v>
      </c>
      <c r="AV30">
        <v>0.2153707387042936</v>
      </c>
      <c r="AW30">
        <v>0.1942484255254571</v>
      </c>
      <c r="AY30">
        <f t="shared" si="1"/>
        <v>0.1156550703182828</v>
      </c>
      <c r="AZ30">
        <f t="shared" si="2"/>
        <v>8.6010181180458787</v>
      </c>
      <c r="BA30">
        <f t="shared" si="3"/>
        <v>4.2882910497029147</v>
      </c>
      <c r="BB30">
        <f t="shared" si="4"/>
        <v>0</v>
      </c>
      <c r="BC30">
        <f t="shared" si="5"/>
        <v>0</v>
      </c>
      <c r="BD30">
        <f t="shared" si="6"/>
        <v>5.6765072072719844E-2</v>
      </c>
      <c r="BE30">
        <f t="shared" si="7"/>
        <v>1.184307920059215E-2</v>
      </c>
      <c r="BF30">
        <f t="shared" si="8"/>
        <v>20.126569868553261</v>
      </c>
      <c r="BG30">
        <f t="shared" si="9"/>
        <v>8.1303182189066323</v>
      </c>
      <c r="BH30">
        <f t="shared" si="10"/>
        <v>0.27140389834690354</v>
      </c>
      <c r="BI30">
        <f t="shared" si="11"/>
        <v>21.53707387042936</v>
      </c>
      <c r="BJ30">
        <f t="shared" si="12"/>
        <v>19.424842552545709</v>
      </c>
    </row>
    <row r="31" spans="1:62" ht="15.6" thickBot="1">
      <c r="A31" s="6" t="s">
        <v>104</v>
      </c>
      <c r="B31" s="20" t="s">
        <v>72</v>
      </c>
      <c r="C31" s="37" t="s">
        <v>73</v>
      </c>
      <c r="D31" s="35">
        <v>17.20430107526882</v>
      </c>
      <c r="E31" s="10">
        <v>11.3</v>
      </c>
      <c r="F31" s="10">
        <v>16.129032258064516</v>
      </c>
      <c r="G31" s="10">
        <v>66.666666666666657</v>
      </c>
      <c r="H31" s="11">
        <v>3.1910828124999999</v>
      </c>
      <c r="I31" s="12">
        <v>35.9</v>
      </c>
      <c r="J31" s="14">
        <v>9.6999999999999993</v>
      </c>
      <c r="K31" s="14">
        <v>92</v>
      </c>
      <c r="L31" s="15">
        <v>61</v>
      </c>
      <c r="M31" s="13">
        <v>55</v>
      </c>
      <c r="N31" s="15">
        <v>80</v>
      </c>
      <c r="O31" s="16">
        <v>42</v>
      </c>
      <c r="P31" s="15">
        <v>56.999999999999993</v>
      </c>
      <c r="Q31" s="15">
        <v>56.999999999999993</v>
      </c>
      <c r="R31" s="22">
        <v>32</v>
      </c>
      <c r="S31" s="10">
        <v>84</v>
      </c>
      <c r="T31" s="42">
        <v>51.835205465152001</v>
      </c>
      <c r="U31" s="65">
        <v>0.40181699999999998</v>
      </c>
      <c r="V31" s="65">
        <v>0.33308399999999999</v>
      </c>
      <c r="W31" s="65">
        <v>0.33488400000000001</v>
      </c>
      <c r="X31" s="65">
        <v>0.72589899999999996</v>
      </c>
      <c r="Y31" s="65">
        <v>0.91791900000000004</v>
      </c>
      <c r="Z31" s="65">
        <v>0.814361</v>
      </c>
      <c r="AA31" s="65">
        <v>0.36267700000000003</v>
      </c>
      <c r="AB31" s="65">
        <v>0.63126499999999997</v>
      </c>
      <c r="AC31" s="65">
        <v>0.54786500000000005</v>
      </c>
      <c r="AD31" s="65">
        <v>0.168018</v>
      </c>
      <c r="AE31" s="65">
        <v>0.705376</v>
      </c>
      <c r="AF31" s="65">
        <v>0.18395800000000001</v>
      </c>
      <c r="AG31" s="65">
        <v>0</v>
      </c>
      <c r="AH31" s="65">
        <v>0.367288</v>
      </c>
      <c r="AI31" s="65">
        <v>0.91694900000000001</v>
      </c>
      <c r="AJ31" s="65">
        <v>0.36130000000000001</v>
      </c>
      <c r="AK31" s="65">
        <v>0.48416199999999998</v>
      </c>
      <c r="AL31">
        <v>0</v>
      </c>
      <c r="AM31">
        <v>0</v>
      </c>
      <c r="AN31">
        <v>0.35291824837310187</v>
      </c>
      <c r="AO31">
        <v>7.1288540367135992E-4</v>
      </c>
      <c r="AP31">
        <v>0.1685171680887253</v>
      </c>
      <c r="AQ31">
        <v>0.22331142832274359</v>
      </c>
      <c r="AR31">
        <v>0</v>
      </c>
      <c r="AS31">
        <v>0</v>
      </c>
      <c r="AT31">
        <v>0.1696548257372654</v>
      </c>
      <c r="AU31">
        <v>0</v>
      </c>
      <c r="AV31">
        <v>0</v>
      </c>
      <c r="AW31">
        <v>0</v>
      </c>
      <c r="AY31">
        <f t="shared" si="1"/>
        <v>0</v>
      </c>
      <c r="AZ31">
        <f t="shared" si="2"/>
        <v>0</v>
      </c>
      <c r="BA31">
        <f t="shared" si="3"/>
        <v>35.291824837310187</v>
      </c>
      <c r="BB31">
        <f t="shared" si="4"/>
        <v>7.1288540367135986E-2</v>
      </c>
      <c r="BC31">
        <f t="shared" si="5"/>
        <v>16.851716808872531</v>
      </c>
      <c r="BD31">
        <f t="shared" si="6"/>
        <v>22.331142832274359</v>
      </c>
      <c r="BE31">
        <f t="shared" si="7"/>
        <v>0</v>
      </c>
      <c r="BF31">
        <f t="shared" si="8"/>
        <v>0</v>
      </c>
      <c r="BG31">
        <f t="shared" si="9"/>
        <v>16.96548257372654</v>
      </c>
      <c r="BH31">
        <f t="shared" si="10"/>
        <v>0</v>
      </c>
      <c r="BI31">
        <f t="shared" si="11"/>
        <v>0</v>
      </c>
      <c r="BJ31">
        <f t="shared" si="12"/>
        <v>0</v>
      </c>
    </row>
    <row r="32" spans="1:62" ht="15.6" thickBot="1">
      <c r="A32" s="7" t="s">
        <v>105</v>
      </c>
      <c r="B32" s="9" t="s">
        <v>84</v>
      </c>
      <c r="C32" s="38" t="s">
        <v>73</v>
      </c>
      <c r="D32" s="35">
        <v>17.20430107526882</v>
      </c>
      <c r="E32" s="10">
        <v>11.3</v>
      </c>
      <c r="F32" s="10">
        <v>16.129032258064516</v>
      </c>
      <c r="G32" s="10">
        <v>66.666666666666657</v>
      </c>
      <c r="H32" s="11">
        <v>5.5523686274509796</v>
      </c>
      <c r="I32" s="12">
        <v>25.6</v>
      </c>
      <c r="J32" s="14">
        <v>9.3000000000000007</v>
      </c>
      <c r="K32" s="14">
        <v>86</v>
      </c>
      <c r="L32" s="15">
        <v>62</v>
      </c>
      <c r="M32" s="13">
        <v>52</v>
      </c>
      <c r="N32" s="15">
        <v>78</v>
      </c>
      <c r="O32" s="16">
        <v>44</v>
      </c>
      <c r="P32" s="15">
        <v>51</v>
      </c>
      <c r="Q32" s="15">
        <v>48</v>
      </c>
      <c r="R32" s="22">
        <v>32</v>
      </c>
      <c r="S32" s="10">
        <v>83</v>
      </c>
      <c r="T32" s="42">
        <v>57.647366114323702</v>
      </c>
      <c r="U32" s="65">
        <v>0.21006</v>
      </c>
      <c r="V32" s="65">
        <v>0.23472999999999999</v>
      </c>
      <c r="W32" s="65">
        <v>0.42326000000000003</v>
      </c>
      <c r="X32" s="65">
        <v>0.91359100000000004</v>
      </c>
      <c r="Y32" s="65">
        <v>0.97571099999999999</v>
      </c>
      <c r="Z32" s="65">
        <v>0.49752999999999997</v>
      </c>
      <c r="AA32" s="65">
        <v>3.6248000000000002E-2</v>
      </c>
      <c r="AB32" s="65">
        <v>0.21290899999999999</v>
      </c>
      <c r="AC32" s="65">
        <v>0.110462</v>
      </c>
      <c r="AD32" s="65">
        <v>3.0429999999999999E-2</v>
      </c>
      <c r="AE32" s="65">
        <v>3.7164999999999997E-2</v>
      </c>
      <c r="AF32" s="65">
        <v>2.5530000000000001E-3</v>
      </c>
      <c r="AG32" s="65">
        <v>1.3485E-2</v>
      </c>
      <c r="AH32" s="65">
        <v>0.22508400000000001</v>
      </c>
      <c r="AI32" s="65">
        <v>0.85324699999999998</v>
      </c>
      <c r="AJ32" s="65">
        <v>0.61872000000000005</v>
      </c>
      <c r="AK32" s="65">
        <v>0.41078399999999998</v>
      </c>
      <c r="AL32">
        <v>1.6318537859007831E-2</v>
      </c>
      <c r="AM32">
        <v>8.9566717013703945E-2</v>
      </c>
      <c r="AN32">
        <v>0.43741320941377221</v>
      </c>
      <c r="AO32">
        <v>4.9608355091383817E-2</v>
      </c>
      <c r="AP32">
        <v>0.1492778616895066</v>
      </c>
      <c r="AQ32">
        <v>0.38120873121861881</v>
      </c>
      <c r="AR32">
        <v>8.6684073107049613E-3</v>
      </c>
      <c r="AS32">
        <v>9.3150253357980675E-2</v>
      </c>
      <c r="AT32">
        <v>0.52194689669871108</v>
      </c>
      <c r="AU32">
        <v>2.8720626631853791E-2</v>
      </c>
      <c r="AV32">
        <v>0.14951757060858639</v>
      </c>
      <c r="AW32">
        <v>0.27772996644165793</v>
      </c>
      <c r="AY32">
        <f t="shared" si="1"/>
        <v>1.6318537859007831</v>
      </c>
      <c r="AZ32">
        <f t="shared" si="2"/>
        <v>8.9566717013703947</v>
      </c>
      <c r="BA32">
        <f t="shared" si="3"/>
        <v>43.741320941377218</v>
      </c>
      <c r="BB32">
        <f t="shared" si="4"/>
        <v>4.9608355091383816</v>
      </c>
      <c r="BC32">
        <f t="shared" si="5"/>
        <v>14.927786168950661</v>
      </c>
      <c r="BD32">
        <f t="shared" si="6"/>
        <v>38.120873121861884</v>
      </c>
      <c r="BE32">
        <f t="shared" si="7"/>
        <v>0.86684073107049608</v>
      </c>
      <c r="BF32">
        <f t="shared" si="8"/>
        <v>9.315025335798067</v>
      </c>
      <c r="BG32">
        <f t="shared" si="9"/>
        <v>52.19468966987111</v>
      </c>
      <c r="BH32">
        <f t="shared" si="10"/>
        <v>2.8720626631853792</v>
      </c>
      <c r="BI32">
        <f t="shared" si="11"/>
        <v>14.95175706085864</v>
      </c>
      <c r="BJ32">
        <f t="shared" si="12"/>
        <v>27.772996644165794</v>
      </c>
    </row>
    <row r="33" spans="1:62" ht="30.6" thickBot="1">
      <c r="A33" s="6" t="s">
        <v>106</v>
      </c>
      <c r="B33" s="17" t="s">
        <v>107</v>
      </c>
      <c r="C33" s="37" t="s">
        <v>108</v>
      </c>
      <c r="D33" s="35">
        <v>34.545454545454547</v>
      </c>
      <c r="E33" s="10">
        <v>34.799999999999997</v>
      </c>
      <c r="F33" s="10">
        <v>12.727272727272727</v>
      </c>
      <c r="G33" s="10">
        <v>52.72727272727272</v>
      </c>
      <c r="H33" s="11">
        <v>72.783600000000007</v>
      </c>
      <c r="I33" s="12">
        <v>42.9</v>
      </c>
      <c r="J33" s="14">
        <v>13.5</v>
      </c>
      <c r="K33" s="14">
        <v>99</v>
      </c>
      <c r="L33" s="15">
        <v>25</v>
      </c>
      <c r="M33" s="13">
        <v>71</v>
      </c>
      <c r="N33" s="15">
        <v>80</v>
      </c>
      <c r="O33" s="16">
        <v>28.999999999999996</v>
      </c>
      <c r="P33" s="15">
        <v>68</v>
      </c>
      <c r="Q33" s="15">
        <v>81</v>
      </c>
      <c r="R33" s="22">
        <v>70</v>
      </c>
      <c r="S33" s="10">
        <v>83</v>
      </c>
      <c r="T33" s="42">
        <v>73.731544281829997</v>
      </c>
      <c r="U33" s="65">
        <v>0.37148900000000001</v>
      </c>
      <c r="V33" s="65">
        <v>0.27252900000000002</v>
      </c>
      <c r="W33" s="65">
        <v>0.172682</v>
      </c>
      <c r="X33" s="65">
        <v>0.70386499999999996</v>
      </c>
      <c r="Y33" s="65">
        <v>0.80944099999999997</v>
      </c>
      <c r="Z33" s="65">
        <v>0.71634900000000001</v>
      </c>
      <c r="AA33" s="65">
        <v>0.30335499999999999</v>
      </c>
      <c r="AB33" s="65">
        <v>0.34984199999999999</v>
      </c>
      <c r="AC33" s="65">
        <v>0.31626199999999999</v>
      </c>
      <c r="AD33" s="65">
        <v>0.16597999999999999</v>
      </c>
      <c r="AE33" s="65">
        <v>0.23258499999999999</v>
      </c>
      <c r="AF33" s="65">
        <v>0.110767</v>
      </c>
      <c r="AG33" s="65">
        <v>0</v>
      </c>
      <c r="AH33" s="65">
        <v>0.66713999999999996</v>
      </c>
      <c r="AI33" s="65">
        <v>0.842252</v>
      </c>
      <c r="AJ33" s="65">
        <v>0.118731</v>
      </c>
      <c r="AK33" s="65">
        <v>0.61131500000000005</v>
      </c>
      <c r="AL33">
        <v>0</v>
      </c>
      <c r="AM33">
        <v>0</v>
      </c>
      <c r="AN33">
        <v>8.776686836396845E-2</v>
      </c>
      <c r="AO33">
        <v>0</v>
      </c>
      <c r="AP33">
        <v>0</v>
      </c>
      <c r="AQ33">
        <v>1.6491747254811239E-2</v>
      </c>
      <c r="AR33">
        <v>1.0133333333333331E-3</v>
      </c>
      <c r="AS33">
        <v>0.12548334651830781</v>
      </c>
      <c r="AT33">
        <v>0.1142937773387893</v>
      </c>
      <c r="AU33">
        <v>4.8888888888888888E-3</v>
      </c>
      <c r="AV33">
        <v>0.402832293996018</v>
      </c>
      <c r="AW33">
        <v>9.4057132359695053E-2</v>
      </c>
      <c r="AY33">
        <f t="shared" si="1"/>
        <v>0</v>
      </c>
      <c r="AZ33">
        <f t="shared" si="2"/>
        <v>0</v>
      </c>
      <c r="BA33">
        <f t="shared" si="3"/>
        <v>8.7766868363968449</v>
      </c>
      <c r="BB33">
        <f t="shared" si="4"/>
        <v>0</v>
      </c>
      <c r="BC33">
        <f t="shared" si="5"/>
        <v>0</v>
      </c>
      <c r="BD33">
        <f t="shared" si="6"/>
        <v>1.649174725481124</v>
      </c>
      <c r="BE33">
        <f t="shared" si="7"/>
        <v>0.1013333333333333</v>
      </c>
      <c r="BF33">
        <f t="shared" si="8"/>
        <v>12.54833465183078</v>
      </c>
      <c r="BG33">
        <f t="shared" si="9"/>
        <v>11.42937773387893</v>
      </c>
      <c r="BH33">
        <f t="shared" si="10"/>
        <v>0.48888888888888887</v>
      </c>
      <c r="BI33">
        <f t="shared" si="11"/>
        <v>40.283229399601801</v>
      </c>
      <c r="BJ33">
        <f t="shared" si="12"/>
        <v>9.4057132359695057</v>
      </c>
    </row>
    <row r="34" spans="1:62" ht="15.6" thickBot="1">
      <c r="A34" s="7" t="s">
        <v>109</v>
      </c>
      <c r="B34" s="9" t="s">
        <v>87</v>
      </c>
      <c r="C34" s="38" t="s">
        <v>51</v>
      </c>
      <c r="D34" s="35">
        <v>30.256410256410255</v>
      </c>
      <c r="E34" s="10">
        <v>23.8</v>
      </c>
      <c r="F34" s="10">
        <v>6.666666666666667</v>
      </c>
      <c r="G34" s="10">
        <v>63.076923076923073</v>
      </c>
      <c r="H34" s="11">
        <v>9.3129142857142853</v>
      </c>
      <c r="I34" s="12">
        <v>32.4</v>
      </c>
      <c r="J34" s="14">
        <v>10</v>
      </c>
      <c r="K34" s="14">
        <v>91</v>
      </c>
      <c r="L34" s="15">
        <v>62</v>
      </c>
      <c r="M34" s="13">
        <v>54</v>
      </c>
      <c r="N34" s="15">
        <v>72</v>
      </c>
      <c r="O34" s="16">
        <v>20</v>
      </c>
      <c r="P34" s="15">
        <v>69</v>
      </c>
      <c r="Q34" s="15">
        <v>67</v>
      </c>
      <c r="R34" s="22">
        <v>54</v>
      </c>
      <c r="S34" s="10">
        <v>78</v>
      </c>
      <c r="T34" s="42">
        <v>82.972051889068297</v>
      </c>
      <c r="U34" s="65">
        <v>0.49190099999999998</v>
      </c>
      <c r="V34" s="65">
        <v>0.28084399999999998</v>
      </c>
      <c r="W34" s="65">
        <v>0.85524599999999995</v>
      </c>
      <c r="X34" s="65">
        <v>0.62734299999999998</v>
      </c>
      <c r="Y34" s="65">
        <v>0.97572899999999996</v>
      </c>
      <c r="Z34" s="65">
        <v>0.55407300000000004</v>
      </c>
      <c r="AA34" s="65">
        <v>0.460673</v>
      </c>
      <c r="AB34" s="65">
        <v>0.54898499999999995</v>
      </c>
      <c r="AC34" s="65">
        <v>0.57254099999999997</v>
      </c>
      <c r="AD34" s="65">
        <v>8.4142999999999996E-2</v>
      </c>
      <c r="AE34" s="65">
        <v>0.30457200000000001</v>
      </c>
      <c r="AF34" s="65">
        <v>2.6306E-2</v>
      </c>
      <c r="AG34" s="65">
        <v>1.9581999999999999E-2</v>
      </c>
      <c r="AH34" s="65">
        <v>0.40988200000000002</v>
      </c>
      <c r="AI34" s="65">
        <v>0.86406099999999997</v>
      </c>
      <c r="AJ34" s="65">
        <v>0.73611800000000005</v>
      </c>
      <c r="AK34" s="65">
        <v>0.47989900000000002</v>
      </c>
      <c r="AL34">
        <v>1.247380500948009E-3</v>
      </c>
      <c r="AM34">
        <v>0.1110791543251899</v>
      </c>
      <c r="AN34">
        <v>0.44450972121796389</v>
      </c>
      <c r="AO34">
        <v>0</v>
      </c>
      <c r="AP34">
        <v>0</v>
      </c>
      <c r="AQ34">
        <v>3.159221542022482E-2</v>
      </c>
      <c r="AR34">
        <v>2.458836443468716E-3</v>
      </c>
      <c r="AS34">
        <v>0.4332127371012669</v>
      </c>
      <c r="AT34">
        <v>0.47103068215668742</v>
      </c>
      <c r="AU34">
        <v>2.9271862422246609E-3</v>
      </c>
      <c r="AV34">
        <v>0.27814381034113728</v>
      </c>
      <c r="AW34">
        <v>0.24702438664044241</v>
      </c>
      <c r="AY34">
        <f t="shared" si="1"/>
        <v>0.12473805009480089</v>
      </c>
      <c r="AZ34">
        <f t="shared" si="2"/>
        <v>11.10791543251899</v>
      </c>
      <c r="BA34">
        <f t="shared" si="3"/>
        <v>44.45097212179639</v>
      </c>
      <c r="BB34">
        <f t="shared" si="4"/>
        <v>0</v>
      </c>
      <c r="BC34">
        <f t="shared" si="5"/>
        <v>0</v>
      </c>
      <c r="BD34">
        <f t="shared" si="6"/>
        <v>3.1592215420224821</v>
      </c>
      <c r="BE34">
        <f t="shared" si="7"/>
        <v>0.2458836443468716</v>
      </c>
      <c r="BF34">
        <f t="shared" si="8"/>
        <v>43.32127371012669</v>
      </c>
      <c r="BG34">
        <f t="shared" si="9"/>
        <v>47.103068215668742</v>
      </c>
      <c r="BH34">
        <f t="shared" si="10"/>
        <v>0.29271862422246608</v>
      </c>
      <c r="BI34">
        <f t="shared" si="11"/>
        <v>27.814381034113726</v>
      </c>
      <c r="BJ34">
        <f t="shared" si="12"/>
        <v>24.702438664044241</v>
      </c>
    </row>
    <row r="35" spans="1:62" ht="15.6" thickBot="1">
      <c r="A35" s="6" t="s">
        <v>110</v>
      </c>
      <c r="B35" s="17" t="s">
        <v>56</v>
      </c>
      <c r="C35" s="37" t="s">
        <v>57</v>
      </c>
      <c r="D35" s="35">
        <v>28.15126050420168</v>
      </c>
      <c r="E35" s="10">
        <v>29.6</v>
      </c>
      <c r="F35" s="10">
        <v>10.504201680672269</v>
      </c>
      <c r="G35" s="10">
        <v>61.344537815126053</v>
      </c>
      <c r="H35" s="11">
        <v>28.337452000000003</v>
      </c>
      <c r="I35" s="12">
        <v>28.6</v>
      </c>
      <c r="J35" s="14">
        <v>12.9</v>
      </c>
      <c r="K35" s="14">
        <v>85</v>
      </c>
      <c r="L35" s="15">
        <v>73</v>
      </c>
      <c r="M35" s="13">
        <v>50</v>
      </c>
      <c r="N35" s="15">
        <v>59</v>
      </c>
      <c r="O35" s="16">
        <v>25</v>
      </c>
      <c r="P35" s="15">
        <v>48</v>
      </c>
      <c r="Q35" s="15">
        <v>49</v>
      </c>
      <c r="R35" s="22">
        <v>49</v>
      </c>
      <c r="S35" s="10">
        <v>54</v>
      </c>
      <c r="T35" s="42">
        <v>74.738970023505402</v>
      </c>
      <c r="U35" s="65">
        <v>0.19439000000000001</v>
      </c>
      <c r="V35" s="65">
        <v>0.21926999999999999</v>
      </c>
      <c r="W35" s="65">
        <v>0.54249999999999998</v>
      </c>
      <c r="X35" s="65">
        <v>0.80351300000000003</v>
      </c>
      <c r="Y35" s="65">
        <v>0.94603899999999996</v>
      </c>
      <c r="Z35" s="65">
        <v>0.71708300000000003</v>
      </c>
      <c r="AA35" s="65">
        <v>0.438245</v>
      </c>
      <c r="AB35" s="65">
        <v>0.50199499999999997</v>
      </c>
      <c r="AC35" s="65">
        <v>0.36560900000000002</v>
      </c>
      <c r="AD35" s="65">
        <v>0.10559200000000001</v>
      </c>
      <c r="AE35" s="65">
        <v>0.33871600000000002</v>
      </c>
      <c r="AF35" s="65">
        <v>7.9718999999999998E-2</v>
      </c>
      <c r="AG35" s="65">
        <v>0.245641</v>
      </c>
      <c r="AH35" s="65">
        <v>0.343752</v>
      </c>
      <c r="AI35" s="65">
        <v>0.905783</v>
      </c>
      <c r="AJ35" s="65">
        <v>0.54666599999999999</v>
      </c>
      <c r="AK35" s="65">
        <v>0.15220700000000001</v>
      </c>
      <c r="AL35">
        <v>2.7233115468409592E-3</v>
      </c>
      <c r="AM35">
        <v>9.4147251595804948E-2</v>
      </c>
      <c r="AN35">
        <v>0.16343065087775441</v>
      </c>
      <c r="AO35">
        <v>2.323892519970951E-3</v>
      </c>
      <c r="AP35">
        <v>9.4147251595804948E-2</v>
      </c>
      <c r="AQ35">
        <v>3.8335552134210582E-2</v>
      </c>
      <c r="AR35">
        <v>3.5787944807552661E-3</v>
      </c>
      <c r="AS35">
        <v>7.3435540272439911E-2</v>
      </c>
      <c r="AT35">
        <v>0.86384213070803828</v>
      </c>
      <c r="AU35">
        <v>0</v>
      </c>
      <c r="AV35">
        <v>0</v>
      </c>
      <c r="AW35">
        <v>0</v>
      </c>
      <c r="AY35">
        <f t="shared" si="1"/>
        <v>0.27233115468409591</v>
      </c>
      <c r="AZ35">
        <f t="shared" si="2"/>
        <v>9.4147251595804953</v>
      </c>
      <c r="BA35">
        <f t="shared" si="3"/>
        <v>16.34306508777544</v>
      </c>
      <c r="BB35">
        <f t="shared" si="4"/>
        <v>0.23238925199709509</v>
      </c>
      <c r="BC35">
        <f t="shared" si="5"/>
        <v>9.4147251595804953</v>
      </c>
      <c r="BD35">
        <f t="shared" si="6"/>
        <v>3.8335552134210582</v>
      </c>
      <c r="BE35">
        <f t="shared" si="7"/>
        <v>0.35787944807552663</v>
      </c>
      <c r="BF35">
        <f t="shared" si="8"/>
        <v>7.3435540272439912</v>
      </c>
      <c r="BG35">
        <f t="shared" si="9"/>
        <v>86.384213070803824</v>
      </c>
      <c r="BH35">
        <f t="shared" si="10"/>
        <v>0</v>
      </c>
      <c r="BI35">
        <f t="shared" si="11"/>
        <v>0</v>
      </c>
      <c r="BJ35">
        <f t="shared" si="12"/>
        <v>0</v>
      </c>
    </row>
    <row r="36" spans="1:62" ht="15.6" thickBot="1">
      <c r="A36" s="7" t="s">
        <v>111</v>
      </c>
      <c r="B36" s="9" t="s">
        <v>56</v>
      </c>
      <c r="C36" s="38" t="s">
        <v>57</v>
      </c>
      <c r="D36" s="35">
        <v>28.15126050420168</v>
      </c>
      <c r="E36" s="10">
        <v>29.6</v>
      </c>
      <c r="F36" s="10">
        <v>10.504201680672269</v>
      </c>
      <c r="G36" s="10">
        <v>61.344537815126053</v>
      </c>
      <c r="H36" s="11">
        <v>10.819303478260869</v>
      </c>
      <c r="I36" s="12">
        <v>32</v>
      </c>
      <c r="J36" s="14">
        <v>11.5</v>
      </c>
      <c r="K36" s="14">
        <v>85</v>
      </c>
      <c r="L36" s="15">
        <v>73</v>
      </c>
      <c r="M36" s="13">
        <v>50</v>
      </c>
      <c r="N36" s="15">
        <v>59</v>
      </c>
      <c r="O36" s="16">
        <v>25</v>
      </c>
      <c r="P36" s="15">
        <v>48</v>
      </c>
      <c r="Q36" s="15">
        <v>49</v>
      </c>
      <c r="R36" s="22">
        <v>49</v>
      </c>
      <c r="S36" s="10">
        <v>54</v>
      </c>
      <c r="T36" s="42">
        <v>78.14503647007615</v>
      </c>
      <c r="U36" s="65">
        <v>0.167186</v>
      </c>
      <c r="V36" s="65">
        <v>0.190358</v>
      </c>
      <c r="W36" s="65">
        <v>0.62641500000000006</v>
      </c>
      <c r="X36" s="65">
        <v>0.83505200000000002</v>
      </c>
      <c r="Y36" s="65">
        <v>0.95918099999999995</v>
      </c>
      <c r="Z36" s="65">
        <v>0.76236300000000001</v>
      </c>
      <c r="AA36" s="65">
        <v>0.47408699999999998</v>
      </c>
      <c r="AB36" s="65">
        <v>0.48159200000000002</v>
      </c>
      <c r="AC36" s="65">
        <v>0.32348700000000002</v>
      </c>
      <c r="AD36" s="65">
        <v>8.8863999999999999E-2</v>
      </c>
      <c r="AE36" s="65">
        <v>0.36470999999999998</v>
      </c>
      <c r="AF36" s="65">
        <v>8.1608E-2</v>
      </c>
      <c r="AG36" s="65">
        <v>6.0386000000000002E-2</v>
      </c>
      <c r="AH36" s="65">
        <v>0.305782</v>
      </c>
      <c r="AI36" s="65">
        <v>0.93355399999999999</v>
      </c>
      <c r="AJ36" s="65">
        <v>0.59981700000000004</v>
      </c>
      <c r="AK36" s="65">
        <v>0.175729</v>
      </c>
      <c r="AL36">
        <v>1.8910741301059E-3</v>
      </c>
      <c r="AM36">
        <v>8.2807069961538582E-2</v>
      </c>
      <c r="AN36">
        <v>0.14650035143421511</v>
      </c>
      <c r="AO36">
        <v>3.0257186081694399E-3</v>
      </c>
      <c r="AP36">
        <v>8.2807069961538582E-2</v>
      </c>
      <c r="AQ36">
        <v>3.2986373655442103E-2</v>
      </c>
      <c r="AR36">
        <v>3.582450832072617E-3</v>
      </c>
      <c r="AS36">
        <v>6.4590116205519424E-2</v>
      </c>
      <c r="AT36">
        <v>0.73009495708958005</v>
      </c>
      <c r="AU36">
        <v>0</v>
      </c>
      <c r="AV36">
        <v>0</v>
      </c>
      <c r="AW36">
        <v>3.0753416930257429E-2</v>
      </c>
      <c r="AY36">
        <f t="shared" si="1"/>
        <v>0.18910741301059</v>
      </c>
      <c r="AZ36">
        <f t="shared" si="2"/>
        <v>8.2807069961538584</v>
      </c>
      <c r="BA36">
        <f t="shared" si="3"/>
        <v>14.65003514342151</v>
      </c>
      <c r="BB36">
        <f t="shared" si="4"/>
        <v>0.30257186081694398</v>
      </c>
      <c r="BC36">
        <f t="shared" si="5"/>
        <v>8.2807069961538584</v>
      </c>
      <c r="BD36">
        <f t="shared" si="6"/>
        <v>3.2986373655442103</v>
      </c>
      <c r="BE36">
        <f t="shared" si="7"/>
        <v>0.35824508320726173</v>
      </c>
      <c r="BF36">
        <f t="shared" si="8"/>
        <v>6.4590116205519426</v>
      </c>
      <c r="BG36">
        <f t="shared" si="9"/>
        <v>73.009495708957999</v>
      </c>
      <c r="BH36">
        <f t="shared" si="10"/>
        <v>0</v>
      </c>
      <c r="BI36">
        <f t="shared" si="11"/>
        <v>0</v>
      </c>
      <c r="BJ36">
        <f t="shared" si="12"/>
        <v>3.0753416930257429</v>
      </c>
    </row>
    <row r="37" spans="1:62" ht="15.6" thickBot="1">
      <c r="A37" s="6" t="s">
        <v>112</v>
      </c>
      <c r="B37" s="17" t="s">
        <v>53</v>
      </c>
      <c r="C37" s="37" t="s">
        <v>54</v>
      </c>
      <c r="D37" s="35">
        <v>35.483870967741936</v>
      </c>
      <c r="E37" s="10">
        <v>49.5</v>
      </c>
      <c r="F37" s="10">
        <v>17.419354838709676</v>
      </c>
      <c r="G37" s="10">
        <v>47.096774193548384</v>
      </c>
      <c r="H37" s="11">
        <v>6.4935749999999999</v>
      </c>
      <c r="I37" s="12">
        <v>37.799999999999997</v>
      </c>
      <c r="J37" s="14">
        <v>10.8</v>
      </c>
      <c r="K37" s="14">
        <v>97</v>
      </c>
      <c r="L37" s="15">
        <v>38</v>
      </c>
      <c r="M37" s="15">
        <v>67</v>
      </c>
      <c r="N37" s="15">
        <v>84</v>
      </c>
      <c r="O37" s="16">
        <v>31</v>
      </c>
      <c r="P37" s="15">
        <v>74</v>
      </c>
      <c r="Q37" s="15">
        <v>78</v>
      </c>
      <c r="R37" s="22">
        <v>62</v>
      </c>
      <c r="S37" s="10">
        <v>79</v>
      </c>
      <c r="T37" s="42">
        <v>79.309157294957899</v>
      </c>
      <c r="U37" s="65">
        <v>0.102231</v>
      </c>
      <c r="V37" s="65">
        <v>0.16722400000000001</v>
      </c>
      <c r="W37" s="65">
        <v>0.85193600000000003</v>
      </c>
      <c r="X37" s="65">
        <v>0.74251299999999998</v>
      </c>
      <c r="Y37" s="65">
        <v>0.98220799999999997</v>
      </c>
      <c r="Z37" s="65">
        <v>0.68574800000000002</v>
      </c>
      <c r="AA37" s="65">
        <v>0.50403500000000001</v>
      </c>
      <c r="AB37" s="65">
        <v>0.35835099999999998</v>
      </c>
      <c r="AC37" s="65">
        <v>0.299174</v>
      </c>
      <c r="AD37" s="65">
        <v>4.9137E-2</v>
      </c>
      <c r="AE37" s="65">
        <v>0.182226</v>
      </c>
      <c r="AF37" s="65">
        <v>1.4659999999999999E-2</v>
      </c>
      <c r="AG37" s="65">
        <v>5.1229999999999998E-2</v>
      </c>
      <c r="AH37" s="65">
        <v>0.35470099999999999</v>
      </c>
      <c r="AI37" s="65">
        <v>0.81346300000000005</v>
      </c>
      <c r="AJ37" s="65">
        <v>0.66646300000000003</v>
      </c>
      <c r="AK37" s="65">
        <v>0.621112</v>
      </c>
      <c r="AL37">
        <v>0</v>
      </c>
      <c r="AM37">
        <v>0</v>
      </c>
      <c r="AN37">
        <v>7.354470626690042E-2</v>
      </c>
      <c r="AO37">
        <v>0</v>
      </c>
      <c r="AP37">
        <v>0</v>
      </c>
      <c r="AQ37">
        <v>3.3936570656625697E-2</v>
      </c>
      <c r="AR37">
        <v>3.2676878191101391E-3</v>
      </c>
      <c r="AS37">
        <v>0.29922897654584629</v>
      </c>
      <c r="AT37">
        <v>0.7420397370450621</v>
      </c>
      <c r="AU37">
        <v>2.1395575006078291E-2</v>
      </c>
      <c r="AV37">
        <v>0.32019944849669091</v>
      </c>
      <c r="AW37">
        <v>0.59409227364473716</v>
      </c>
      <c r="AY37">
        <f t="shared" si="1"/>
        <v>0</v>
      </c>
      <c r="AZ37">
        <f t="shared" si="2"/>
        <v>0</v>
      </c>
      <c r="BA37">
        <f t="shared" si="3"/>
        <v>7.3544706266900421</v>
      </c>
      <c r="BB37">
        <f t="shared" si="4"/>
        <v>0</v>
      </c>
      <c r="BC37">
        <f t="shared" si="5"/>
        <v>0</v>
      </c>
      <c r="BD37">
        <f t="shared" si="6"/>
        <v>3.3936570656625697</v>
      </c>
      <c r="BE37">
        <f t="shared" si="7"/>
        <v>0.32676878191101388</v>
      </c>
      <c r="BF37">
        <f t="shared" si="8"/>
        <v>29.922897654584631</v>
      </c>
      <c r="BG37">
        <f t="shared" si="9"/>
        <v>74.203973704506211</v>
      </c>
      <c r="BH37">
        <f t="shared" si="10"/>
        <v>2.1395575006078289</v>
      </c>
      <c r="BI37">
        <f t="shared" si="11"/>
        <v>32.019944849669088</v>
      </c>
      <c r="BJ37">
        <f t="shared" si="12"/>
        <v>59.409227364473715</v>
      </c>
    </row>
    <row r="38" spans="1:62" ht="15.6" thickBot="1">
      <c r="A38" s="7" t="s">
        <v>113</v>
      </c>
      <c r="B38" s="9" t="s">
        <v>114</v>
      </c>
      <c r="C38" s="38" t="s">
        <v>98</v>
      </c>
      <c r="D38" s="35">
        <v>29.411764705882355</v>
      </c>
      <c r="E38" s="10">
        <v>50.2</v>
      </c>
      <c r="F38" s="10">
        <v>19.485294117647058</v>
      </c>
      <c r="G38" s="10">
        <v>51.102941176470587</v>
      </c>
      <c r="H38" s="11">
        <v>27.186919047619046</v>
      </c>
      <c r="I38" s="12">
        <v>29.5</v>
      </c>
      <c r="J38" s="14">
        <v>9.9</v>
      </c>
      <c r="K38" s="14">
        <v>90</v>
      </c>
      <c r="L38" s="15">
        <v>56.999999999999993</v>
      </c>
      <c r="M38" s="13">
        <v>60</v>
      </c>
      <c r="N38" s="15">
        <v>72</v>
      </c>
      <c r="O38" s="16">
        <v>25</v>
      </c>
      <c r="P38" s="15">
        <v>51</v>
      </c>
      <c r="Q38" s="15">
        <v>56.000000000000007</v>
      </c>
      <c r="R38" s="22">
        <v>60</v>
      </c>
      <c r="S38" s="10">
        <v>89</v>
      </c>
      <c r="T38" s="42">
        <v>50.440680858639297</v>
      </c>
      <c r="U38" s="65">
        <v>0.531551</v>
      </c>
      <c r="V38" s="65">
        <v>0.30584800000000001</v>
      </c>
      <c r="W38" s="65">
        <v>0.381166</v>
      </c>
      <c r="X38" s="65">
        <v>0.70625499999999997</v>
      </c>
      <c r="Y38" s="65">
        <v>0.902443</v>
      </c>
      <c r="Z38" s="65">
        <v>0.74823600000000001</v>
      </c>
      <c r="AA38" s="65">
        <v>0.40285599999999999</v>
      </c>
      <c r="AB38" s="65">
        <v>0.55885899999999999</v>
      </c>
      <c r="AC38" s="65">
        <v>0.50428200000000001</v>
      </c>
      <c r="AD38" s="65">
        <v>0.16519900000000001</v>
      </c>
      <c r="AE38" s="65">
        <v>0.24247199999999999</v>
      </c>
      <c r="AF38" s="65">
        <v>6.4605999999999997E-2</v>
      </c>
      <c r="AG38" s="65">
        <v>0.19200700000000001</v>
      </c>
      <c r="AH38" s="65">
        <v>0.44853999999999999</v>
      </c>
      <c r="AI38" s="65">
        <v>0.90610900000000005</v>
      </c>
      <c r="AJ38" s="65">
        <v>0.53849100000000005</v>
      </c>
      <c r="AK38" s="65">
        <v>0.31507200000000002</v>
      </c>
      <c r="AL38">
        <v>0</v>
      </c>
      <c r="AM38">
        <v>0</v>
      </c>
      <c r="AN38">
        <v>0.36331246557944541</v>
      </c>
      <c r="AO38">
        <v>1.705393306331273E-3</v>
      </c>
      <c r="AP38">
        <v>0.26960415707794771</v>
      </c>
      <c r="AQ38">
        <v>3.2876682675070587E-2</v>
      </c>
      <c r="AR38">
        <v>6.3668016769700844E-4</v>
      </c>
      <c r="AS38">
        <v>0.21029320133225249</v>
      </c>
      <c r="AT38">
        <v>0.50632735556821173</v>
      </c>
      <c r="AU38">
        <v>1.0421847983135561E-2</v>
      </c>
      <c r="AV38">
        <v>0.45006180796045991</v>
      </c>
      <c r="AW38">
        <v>0.40278870412066292</v>
      </c>
      <c r="AY38">
        <f t="shared" si="1"/>
        <v>0</v>
      </c>
      <c r="AZ38">
        <f t="shared" si="2"/>
        <v>0</v>
      </c>
      <c r="BA38">
        <f t="shared" si="3"/>
        <v>36.331246557944539</v>
      </c>
      <c r="BB38">
        <f t="shared" si="4"/>
        <v>0.17053933063312729</v>
      </c>
      <c r="BC38">
        <f t="shared" si="5"/>
        <v>26.960415707794773</v>
      </c>
      <c r="BD38">
        <f t="shared" si="6"/>
        <v>3.2876682675070588</v>
      </c>
      <c r="BE38">
        <f t="shared" si="7"/>
        <v>6.3668016769700839E-2</v>
      </c>
      <c r="BF38">
        <f t="shared" si="8"/>
        <v>21.029320133225248</v>
      </c>
      <c r="BG38">
        <f t="shared" si="9"/>
        <v>50.632735556821174</v>
      </c>
      <c r="BH38">
        <f t="shared" si="10"/>
        <v>1.0421847983135561</v>
      </c>
      <c r="BI38">
        <f t="shared" si="11"/>
        <v>45.006180796045989</v>
      </c>
      <c r="BJ38">
        <f t="shared" si="12"/>
        <v>40.27887041206629</v>
      </c>
    </row>
    <row r="39" spans="1:62" ht="30.6" thickBot="1">
      <c r="A39" s="6" t="s">
        <v>115</v>
      </c>
      <c r="B39" s="20" t="s">
        <v>84</v>
      </c>
      <c r="C39" s="37" t="s">
        <v>73</v>
      </c>
      <c r="D39" s="35">
        <v>17.20430107526882</v>
      </c>
      <c r="E39" s="10">
        <v>11.3</v>
      </c>
      <c r="F39" s="10">
        <v>16.129032258064516</v>
      </c>
      <c r="G39" s="10">
        <v>66.666666666666657</v>
      </c>
      <c r="H39" s="11">
        <v>2.3822096774193549</v>
      </c>
      <c r="I39" s="12">
        <v>28.5</v>
      </c>
      <c r="J39" s="14">
        <v>7.9</v>
      </c>
      <c r="K39" s="14">
        <v>86</v>
      </c>
      <c r="L39" s="15">
        <v>62</v>
      </c>
      <c r="M39" s="13">
        <v>52</v>
      </c>
      <c r="N39" s="15">
        <v>78</v>
      </c>
      <c r="O39" s="16">
        <v>44</v>
      </c>
      <c r="P39" s="15">
        <v>51</v>
      </c>
      <c r="Q39" s="15">
        <v>48</v>
      </c>
      <c r="R39" s="22">
        <v>32</v>
      </c>
      <c r="S39" s="10">
        <v>83</v>
      </c>
      <c r="T39" s="42">
        <v>64.584409953469105</v>
      </c>
      <c r="U39" s="65">
        <v>0.149643</v>
      </c>
      <c r="V39" s="65">
        <v>0.34612399999999999</v>
      </c>
      <c r="W39" s="65">
        <v>0.60525600000000002</v>
      </c>
      <c r="X39" s="65">
        <v>0.95659899999999998</v>
      </c>
      <c r="Y39" s="65">
        <v>0.98805799999999999</v>
      </c>
      <c r="Z39" s="65">
        <v>1</v>
      </c>
      <c r="AA39" s="65">
        <v>3.5195999999999998E-2</v>
      </c>
      <c r="AB39" s="65">
        <v>0.76664399999999999</v>
      </c>
      <c r="AC39" s="65">
        <v>0.35175899999999999</v>
      </c>
      <c r="AD39" s="65">
        <v>0.10065200000000001</v>
      </c>
      <c r="AE39" s="65">
        <v>4.3020000000000003E-2</v>
      </c>
      <c r="AF39" s="65">
        <v>3.8059999999999999E-3</v>
      </c>
      <c r="AG39" s="65">
        <v>0.245397</v>
      </c>
      <c r="AH39" s="65">
        <v>0.18240200000000001</v>
      </c>
      <c r="AI39" s="65">
        <v>0.97830300000000003</v>
      </c>
      <c r="AJ39" s="65">
        <v>0.67883700000000002</v>
      </c>
      <c r="AK39" s="65">
        <v>0.46976299999999999</v>
      </c>
      <c r="AL39">
        <v>3.605769230769231E-3</v>
      </c>
      <c r="AM39">
        <v>0.549870425451223</v>
      </c>
      <c r="AN39">
        <v>0.94112963013811435</v>
      </c>
      <c r="AO39">
        <v>1.7692307692307691E-2</v>
      </c>
      <c r="AP39">
        <v>0.73316056726829759</v>
      </c>
      <c r="AQ39">
        <v>0.96002670688859237</v>
      </c>
      <c r="AR39">
        <v>8.0000000000000004E-4</v>
      </c>
      <c r="AS39">
        <v>0.42890292694052712</v>
      </c>
      <c r="AT39">
        <v>0.45050395357518569</v>
      </c>
      <c r="AU39">
        <v>0</v>
      </c>
      <c r="AV39">
        <v>0</v>
      </c>
      <c r="AW39">
        <v>4.6050576105583073E-2</v>
      </c>
      <c r="AY39">
        <f t="shared" si="1"/>
        <v>0.36057692307692307</v>
      </c>
      <c r="AZ39">
        <f t="shared" si="2"/>
        <v>54.9870425451223</v>
      </c>
      <c r="BA39">
        <f t="shared" si="3"/>
        <v>94.112963013811438</v>
      </c>
      <c r="BB39">
        <f t="shared" si="4"/>
        <v>1.7692307692307692</v>
      </c>
      <c r="BC39">
        <f t="shared" si="5"/>
        <v>73.316056726829757</v>
      </c>
      <c r="BD39">
        <f t="shared" si="6"/>
        <v>96.00267068885924</v>
      </c>
      <c r="BE39">
        <f t="shared" si="7"/>
        <v>0.08</v>
      </c>
      <c r="BF39">
        <f t="shared" si="8"/>
        <v>42.890292694052711</v>
      </c>
      <c r="BG39">
        <f t="shared" si="9"/>
        <v>45.050395357518568</v>
      </c>
      <c r="BH39">
        <f t="shared" si="10"/>
        <v>0</v>
      </c>
      <c r="BI39">
        <f t="shared" si="11"/>
        <v>0</v>
      </c>
      <c r="BJ39">
        <f t="shared" si="12"/>
        <v>4.6050576105583074</v>
      </c>
    </row>
    <row r="40" spans="1:62" ht="15.6" thickBot="1">
      <c r="A40" s="7" t="s">
        <v>116</v>
      </c>
      <c r="B40" s="9" t="s">
        <v>72</v>
      </c>
      <c r="C40" s="38" t="s">
        <v>73</v>
      </c>
      <c r="D40" s="35">
        <v>17.20430107526882</v>
      </c>
      <c r="E40" s="10">
        <v>11.3</v>
      </c>
      <c r="F40" s="10">
        <v>16.129032258064516</v>
      </c>
      <c r="G40" s="10">
        <v>66.666666666666657</v>
      </c>
      <c r="H40" s="11">
        <v>8.0380826086956532</v>
      </c>
      <c r="I40" s="12">
        <v>35.700000000000003</v>
      </c>
      <c r="J40" s="14">
        <v>8.4</v>
      </c>
      <c r="K40" s="14">
        <v>92</v>
      </c>
      <c r="L40" s="15">
        <v>61</v>
      </c>
      <c r="M40" s="13">
        <v>55</v>
      </c>
      <c r="N40" s="15">
        <v>80</v>
      </c>
      <c r="O40" s="16">
        <v>42</v>
      </c>
      <c r="P40" s="15">
        <v>56.999999999999993</v>
      </c>
      <c r="Q40" s="15">
        <v>56.999999999999993</v>
      </c>
      <c r="R40" s="22">
        <v>32</v>
      </c>
      <c r="S40" s="10">
        <v>84</v>
      </c>
      <c r="T40" s="42">
        <v>75.469433410970097</v>
      </c>
      <c r="U40" s="65">
        <v>0.26452599999999998</v>
      </c>
      <c r="V40" s="65">
        <v>0.21159</v>
      </c>
      <c r="W40" s="65">
        <v>0.62483</v>
      </c>
      <c r="X40" s="65">
        <v>0.670956</v>
      </c>
      <c r="Y40" s="65">
        <v>0.97023499999999996</v>
      </c>
      <c r="Z40" s="65">
        <v>1</v>
      </c>
      <c r="AA40" s="65">
        <v>4.2473999999999998E-2</v>
      </c>
      <c r="AB40" s="65">
        <v>1</v>
      </c>
      <c r="AC40" s="65">
        <v>0.96685100000000002</v>
      </c>
      <c r="AD40" s="65">
        <v>0.16684399999999999</v>
      </c>
      <c r="AE40" s="65">
        <v>0.20546300000000001</v>
      </c>
      <c r="AF40" s="65">
        <v>1.8407E-2</v>
      </c>
      <c r="AG40" s="65">
        <v>8.4197999999999995E-2</v>
      </c>
      <c r="AH40" s="65">
        <v>0.24002299999999999</v>
      </c>
      <c r="AI40" s="65">
        <v>0.98824699999999999</v>
      </c>
      <c r="AJ40" s="65">
        <v>0.55974999999999997</v>
      </c>
      <c r="AK40" s="65">
        <v>0.50307999999999997</v>
      </c>
      <c r="AL40">
        <v>3.028834504482675E-3</v>
      </c>
      <c r="AM40">
        <v>0.42306292489973862</v>
      </c>
      <c r="AN40">
        <v>0.53865704017871574</v>
      </c>
      <c r="AO40">
        <v>6.4615136095630401E-3</v>
      </c>
      <c r="AP40">
        <v>0.42306292489973862</v>
      </c>
      <c r="AQ40">
        <v>0.41668669447609202</v>
      </c>
      <c r="AR40">
        <v>8.2707374202406914E-4</v>
      </c>
      <c r="AS40">
        <v>0.32999215518932162</v>
      </c>
      <c r="AT40">
        <v>0.72386058981233237</v>
      </c>
      <c r="AU40">
        <v>0</v>
      </c>
      <c r="AV40">
        <v>0</v>
      </c>
      <c r="AW40">
        <v>9.2402609242493577E-2</v>
      </c>
      <c r="AY40">
        <f t="shared" si="1"/>
        <v>0.30288345044826748</v>
      </c>
      <c r="AZ40">
        <f t="shared" si="2"/>
        <v>42.306292489973863</v>
      </c>
      <c r="BA40">
        <f t="shared" si="3"/>
        <v>53.865704017871572</v>
      </c>
      <c r="BB40">
        <f t="shared" si="4"/>
        <v>0.64615136095630399</v>
      </c>
      <c r="BC40">
        <f t="shared" si="5"/>
        <v>42.306292489973863</v>
      </c>
      <c r="BD40">
        <f t="shared" si="6"/>
        <v>41.668669447609204</v>
      </c>
      <c r="BE40">
        <f t="shared" si="7"/>
        <v>8.2707374202406911E-2</v>
      </c>
      <c r="BF40">
        <f t="shared" si="8"/>
        <v>32.999215518932161</v>
      </c>
      <c r="BG40">
        <f t="shared" si="9"/>
        <v>72.386058981233234</v>
      </c>
      <c r="BH40">
        <f t="shared" si="10"/>
        <v>0</v>
      </c>
      <c r="BI40">
        <f t="shared" si="11"/>
        <v>0</v>
      </c>
      <c r="BJ40">
        <f t="shared" si="12"/>
        <v>9.2402609242493572</v>
      </c>
    </row>
    <row r="41" spans="1:62" ht="15.6" thickBot="1">
      <c r="A41" s="6" t="s">
        <v>117</v>
      </c>
      <c r="B41" s="17" t="s">
        <v>118</v>
      </c>
      <c r="C41" s="37" t="s">
        <v>63</v>
      </c>
      <c r="D41" s="35">
        <v>40.963855421686745</v>
      </c>
      <c r="E41" s="10">
        <v>95.5</v>
      </c>
      <c r="F41" s="10">
        <v>16.265060240963855</v>
      </c>
      <c r="G41" s="10">
        <v>42.771084337349393</v>
      </c>
      <c r="H41" s="11">
        <v>20.096129166666664</v>
      </c>
      <c r="I41" s="12">
        <v>50.6</v>
      </c>
      <c r="J41" s="14">
        <v>9.6</v>
      </c>
      <c r="K41" s="14">
        <v>97</v>
      </c>
      <c r="L41" s="15">
        <v>36</v>
      </c>
      <c r="M41" s="13">
        <v>67</v>
      </c>
      <c r="N41" s="15">
        <v>79</v>
      </c>
      <c r="O41" s="16">
        <v>37</v>
      </c>
      <c r="P41" s="15">
        <v>84</v>
      </c>
      <c r="Q41" s="15">
        <v>81</v>
      </c>
      <c r="R41" s="22">
        <v>74</v>
      </c>
      <c r="S41" s="10">
        <v>94</v>
      </c>
      <c r="T41" s="42">
        <v>68.877538463929142</v>
      </c>
      <c r="U41" s="65">
        <v>0.33369199999999999</v>
      </c>
      <c r="V41" s="65">
        <v>0.250054</v>
      </c>
      <c r="W41" s="65">
        <v>0.28365000000000001</v>
      </c>
      <c r="X41" s="65">
        <v>0.64383299999999999</v>
      </c>
      <c r="Y41" s="65">
        <v>0.85577099999999995</v>
      </c>
      <c r="Z41" s="65">
        <v>0.79603000000000002</v>
      </c>
      <c r="AA41" s="65">
        <v>8.0707000000000001E-2</v>
      </c>
      <c r="AB41" s="65">
        <v>0.38086199999999998</v>
      </c>
      <c r="AC41" s="65">
        <v>0.38548100000000002</v>
      </c>
      <c r="AD41" s="65">
        <v>0.14640600000000001</v>
      </c>
      <c r="AE41" s="65">
        <v>0.432647</v>
      </c>
      <c r="AF41" s="65">
        <v>0.14157400000000001</v>
      </c>
      <c r="AG41" s="65">
        <v>1.2205000000000001E-2</v>
      </c>
      <c r="AH41" s="65">
        <v>0.47582999999999998</v>
      </c>
      <c r="AI41" s="65">
        <v>0.90695899999999996</v>
      </c>
      <c r="AJ41" s="65">
        <v>0.49229400000000001</v>
      </c>
      <c r="AK41" s="65">
        <v>0.18828300000000001</v>
      </c>
      <c r="AL41">
        <v>0</v>
      </c>
      <c r="AM41">
        <v>0</v>
      </c>
      <c r="AN41">
        <v>3.3638869407792791E-3</v>
      </c>
      <c r="AO41">
        <v>0</v>
      </c>
      <c r="AP41">
        <v>0</v>
      </c>
      <c r="AQ41">
        <v>9.0639166459974465E-3</v>
      </c>
      <c r="AR41">
        <v>4.243227884068953E-4</v>
      </c>
      <c r="AS41">
        <v>5.4383788306906697E-2</v>
      </c>
      <c r="AT41">
        <v>3.2957729444254062E-2</v>
      </c>
      <c r="AU41">
        <v>0</v>
      </c>
      <c r="AV41">
        <v>0</v>
      </c>
      <c r="AW41">
        <v>0</v>
      </c>
      <c r="AY41">
        <f t="shared" si="1"/>
        <v>0</v>
      </c>
      <c r="AZ41">
        <f t="shared" si="2"/>
        <v>0</v>
      </c>
      <c r="BA41">
        <f t="shared" si="3"/>
        <v>0.33638869407792793</v>
      </c>
      <c r="BB41">
        <f t="shared" si="4"/>
        <v>0</v>
      </c>
      <c r="BC41">
        <f t="shared" si="5"/>
        <v>0</v>
      </c>
      <c r="BD41">
        <f t="shared" si="6"/>
        <v>0.90639166459974463</v>
      </c>
      <c r="BE41">
        <f t="shared" si="7"/>
        <v>4.2432278840689529E-2</v>
      </c>
      <c r="BF41">
        <f t="shared" si="8"/>
        <v>5.4383788306906693</v>
      </c>
      <c r="BG41">
        <f t="shared" si="9"/>
        <v>3.2957729444254062</v>
      </c>
      <c r="BH41">
        <f t="shared" si="10"/>
        <v>0</v>
      </c>
      <c r="BI41">
        <f t="shared" si="11"/>
        <v>0</v>
      </c>
      <c r="BJ41">
        <f t="shared" si="12"/>
        <v>0</v>
      </c>
    </row>
    <row r="42" spans="1:62" ht="15.6" thickBot="1">
      <c r="A42" s="7" t="s">
        <v>119</v>
      </c>
      <c r="B42" s="9" t="s">
        <v>120</v>
      </c>
      <c r="C42" s="38" t="s">
        <v>108</v>
      </c>
      <c r="D42" s="35">
        <v>34.545454545454547</v>
      </c>
      <c r="E42" s="10">
        <v>34.799999999999997</v>
      </c>
      <c r="F42" s="10">
        <v>12.727272727272727</v>
      </c>
      <c r="G42" s="10">
        <v>52.72727272727272</v>
      </c>
      <c r="H42" s="11">
        <v>6.811887500000001</v>
      </c>
      <c r="I42" s="12">
        <v>30</v>
      </c>
      <c r="J42" s="14">
        <v>9.3000000000000007</v>
      </c>
      <c r="K42" s="14">
        <v>96</v>
      </c>
      <c r="L42" s="15">
        <v>38</v>
      </c>
      <c r="M42" s="13">
        <v>62</v>
      </c>
      <c r="N42" s="15">
        <v>78</v>
      </c>
      <c r="O42" s="16">
        <v>34</v>
      </c>
      <c r="P42" s="15">
        <v>64</v>
      </c>
      <c r="Q42" s="15">
        <v>70</v>
      </c>
      <c r="R42" s="22">
        <v>70</v>
      </c>
      <c r="S42" s="10">
        <v>84</v>
      </c>
      <c r="T42" s="42">
        <v>68.356533017939896</v>
      </c>
      <c r="U42" s="65">
        <v>0.29786299999999999</v>
      </c>
      <c r="V42" s="65">
        <v>0.189466</v>
      </c>
      <c r="W42" s="65">
        <v>0.40694599999999997</v>
      </c>
      <c r="X42" s="65">
        <v>0.61245700000000003</v>
      </c>
      <c r="Y42" s="65">
        <v>0.93494500000000003</v>
      </c>
      <c r="Z42" s="65">
        <v>0.58327200000000001</v>
      </c>
      <c r="AA42" s="65">
        <v>0.341976</v>
      </c>
      <c r="AB42" s="65">
        <v>0.67642199999999997</v>
      </c>
      <c r="AC42" s="65">
        <v>0.72370900000000005</v>
      </c>
      <c r="AD42" s="65">
        <v>0.15794</v>
      </c>
      <c r="AE42" s="65">
        <v>0.39319799999999999</v>
      </c>
      <c r="AF42" s="65">
        <v>6.5193000000000001E-2</v>
      </c>
      <c r="AG42" s="65">
        <v>0.103334</v>
      </c>
      <c r="AH42" s="65">
        <v>0.40256799999999998</v>
      </c>
      <c r="AI42" s="65">
        <v>0.86673500000000003</v>
      </c>
      <c r="AJ42" s="65">
        <v>0.46143000000000001</v>
      </c>
      <c r="AK42" s="65">
        <v>0.54396999999999995</v>
      </c>
      <c r="AL42">
        <v>8.5440874914559112E-4</v>
      </c>
      <c r="AM42">
        <v>0.12886171002517971</v>
      </c>
      <c r="AN42">
        <v>0.47366458785249438</v>
      </c>
      <c r="AO42">
        <v>2.187286397812713E-3</v>
      </c>
      <c r="AP42">
        <v>0.38658513007553919</v>
      </c>
      <c r="AQ42">
        <v>0.1282930049032408</v>
      </c>
      <c r="AR42">
        <v>3.7183868762816137E-4</v>
      </c>
      <c r="AS42">
        <v>0.20102614013113079</v>
      </c>
      <c r="AT42">
        <v>0.397955764075067</v>
      </c>
      <c r="AU42">
        <v>2.0050125313283199E-3</v>
      </c>
      <c r="AV42">
        <v>0.32267158722282541</v>
      </c>
      <c r="AW42">
        <v>0.72334413695670241</v>
      </c>
      <c r="AY42">
        <f t="shared" si="1"/>
        <v>8.5440874914559109E-2</v>
      </c>
      <c r="AZ42">
        <f t="shared" si="2"/>
        <v>12.886171002517971</v>
      </c>
      <c r="BA42">
        <f t="shared" si="3"/>
        <v>47.366458785249435</v>
      </c>
      <c r="BB42">
        <f t="shared" si="4"/>
        <v>0.2187286397812713</v>
      </c>
      <c r="BC42">
        <f t="shared" si="5"/>
        <v>38.658513007553921</v>
      </c>
      <c r="BD42">
        <f t="shared" si="6"/>
        <v>12.82930049032408</v>
      </c>
      <c r="BE42">
        <f t="shared" si="7"/>
        <v>3.7183868762816139E-2</v>
      </c>
      <c r="BF42">
        <f t="shared" si="8"/>
        <v>20.102614013113079</v>
      </c>
      <c r="BG42">
        <f t="shared" si="9"/>
        <v>39.795576407506701</v>
      </c>
      <c r="BH42">
        <f t="shared" si="10"/>
        <v>0.20050125313283199</v>
      </c>
      <c r="BI42">
        <f t="shared" si="11"/>
        <v>32.267158722282538</v>
      </c>
      <c r="BJ42">
        <f t="shared" si="12"/>
        <v>72.334413695670236</v>
      </c>
    </row>
    <row r="43" spans="1:62" ht="15.6" thickBot="1">
      <c r="A43" s="6" t="s">
        <v>121</v>
      </c>
      <c r="B43" s="17" t="s">
        <v>92</v>
      </c>
      <c r="C43" s="37" t="s">
        <v>63</v>
      </c>
      <c r="D43" s="35">
        <v>40.963855421686745</v>
      </c>
      <c r="E43" s="10">
        <v>95.5</v>
      </c>
      <c r="F43" s="10">
        <v>16.265060240963855</v>
      </c>
      <c r="G43" s="10">
        <v>42.771084337349393</v>
      </c>
      <c r="H43" s="11">
        <v>2.4166784313725489</v>
      </c>
      <c r="I43" s="12">
        <v>43.2</v>
      </c>
      <c r="J43" s="14">
        <v>7.6</v>
      </c>
      <c r="K43" s="14">
        <v>95</v>
      </c>
      <c r="L43" s="15">
        <v>37</v>
      </c>
      <c r="M43" s="13">
        <v>68</v>
      </c>
      <c r="N43" s="15">
        <v>84</v>
      </c>
      <c r="O43" s="16">
        <v>42</v>
      </c>
      <c r="P43" s="15">
        <v>75</v>
      </c>
      <c r="Q43" s="15">
        <v>70</v>
      </c>
      <c r="R43" s="22">
        <v>74</v>
      </c>
      <c r="S43" s="10">
        <v>94</v>
      </c>
      <c r="T43" s="42">
        <v>54.273911397605303</v>
      </c>
      <c r="U43" s="65">
        <v>0.17072499999999999</v>
      </c>
      <c r="V43" s="65">
        <v>0.262326</v>
      </c>
      <c r="W43" s="65">
        <v>0.19395200000000001</v>
      </c>
      <c r="X43" s="65">
        <v>0.75606600000000002</v>
      </c>
      <c r="Y43" s="65">
        <v>0.80974299999999999</v>
      </c>
      <c r="Z43" s="65">
        <v>0.56527099999999997</v>
      </c>
      <c r="AA43" s="65">
        <v>5.5184999999999998E-2</v>
      </c>
      <c r="AB43" s="65">
        <v>8.7290000000000006E-3</v>
      </c>
      <c r="AC43" s="65">
        <v>4.1289999999999999E-3</v>
      </c>
      <c r="AD43" s="65">
        <v>2.6480000000000002E-3</v>
      </c>
      <c r="AE43" s="65">
        <v>0</v>
      </c>
      <c r="AF43" s="65">
        <v>7.5230000000000002E-3</v>
      </c>
      <c r="AG43" s="65">
        <v>7.3690000000000005E-2</v>
      </c>
      <c r="AH43" s="65">
        <v>0.81989599999999996</v>
      </c>
      <c r="AI43" s="65">
        <v>0.434033</v>
      </c>
      <c r="AJ43" s="65">
        <v>0.54039400000000004</v>
      </c>
      <c r="AK43" s="65">
        <v>6.9461999999999996E-2</v>
      </c>
      <c r="AL43">
        <v>0</v>
      </c>
      <c r="AM43">
        <v>0</v>
      </c>
      <c r="AN43">
        <v>6.5075921908893705E-2</v>
      </c>
      <c r="AO43">
        <v>1.087695445275323E-3</v>
      </c>
      <c r="AP43">
        <v>5.1973529718287871E-2</v>
      </c>
      <c r="AQ43">
        <v>8.6542407022866582E-3</v>
      </c>
      <c r="AR43">
        <v>6.5261726716519381E-4</v>
      </c>
      <c r="AS43">
        <v>8.1079461588834029E-2</v>
      </c>
      <c r="AT43">
        <v>6.2734584450402142E-2</v>
      </c>
      <c r="AU43">
        <v>0</v>
      </c>
      <c r="AV43">
        <v>0</v>
      </c>
      <c r="AW43">
        <v>1.8600277807458061E-2</v>
      </c>
      <c r="AY43">
        <f t="shared" si="1"/>
        <v>0</v>
      </c>
      <c r="AZ43">
        <f t="shared" si="2"/>
        <v>0</v>
      </c>
      <c r="BA43">
        <f t="shared" si="3"/>
        <v>6.5075921908893708</v>
      </c>
      <c r="BB43">
        <f t="shared" si="4"/>
        <v>0.10876954452753229</v>
      </c>
      <c r="BC43">
        <f t="shared" si="5"/>
        <v>5.1973529718287867</v>
      </c>
      <c r="BD43">
        <f t="shared" si="6"/>
        <v>0.86542407022866585</v>
      </c>
      <c r="BE43">
        <f t="shared" si="7"/>
        <v>6.5261726716519378E-2</v>
      </c>
      <c r="BF43">
        <f t="shared" si="8"/>
        <v>8.1079461588834025</v>
      </c>
      <c r="BG43">
        <f t="shared" si="9"/>
        <v>6.2734584450402142</v>
      </c>
      <c r="BH43">
        <f t="shared" si="10"/>
        <v>0</v>
      </c>
      <c r="BI43">
        <f t="shared" si="11"/>
        <v>0</v>
      </c>
      <c r="BJ43">
        <f t="shared" si="12"/>
        <v>1.8600277807458061</v>
      </c>
    </row>
    <row r="44" spans="1:62" ht="15.6" thickBot="1">
      <c r="A44" s="7" t="s">
        <v>122</v>
      </c>
      <c r="B44" s="9" t="s">
        <v>92</v>
      </c>
      <c r="C44" s="38" t="s">
        <v>63</v>
      </c>
      <c r="D44" s="35">
        <v>40.963855421686745</v>
      </c>
      <c r="E44" s="10">
        <v>95.5</v>
      </c>
      <c r="F44" s="10">
        <v>16.265060240963855</v>
      </c>
      <c r="G44" s="10">
        <v>42.771084337349393</v>
      </c>
      <c r="H44" s="11">
        <v>21.277422222222224</v>
      </c>
      <c r="I44" s="12">
        <v>28.6</v>
      </c>
      <c r="J44" s="14">
        <v>14.3</v>
      </c>
      <c r="K44" s="14">
        <v>95</v>
      </c>
      <c r="L44" s="15">
        <v>37</v>
      </c>
      <c r="M44" s="13">
        <v>68</v>
      </c>
      <c r="N44" s="15">
        <v>84</v>
      </c>
      <c r="O44" s="16">
        <v>42</v>
      </c>
      <c r="P44" s="15">
        <v>75</v>
      </c>
      <c r="Q44" s="15">
        <v>70</v>
      </c>
      <c r="R44" s="22">
        <v>74</v>
      </c>
      <c r="S44" s="10">
        <v>94</v>
      </c>
      <c r="T44" s="42">
        <v>52.070061287063197</v>
      </c>
      <c r="U44" s="65">
        <v>0.20965600000000001</v>
      </c>
      <c r="V44" s="65">
        <v>0.20535500000000001</v>
      </c>
      <c r="W44" s="65">
        <v>0.21709400000000001</v>
      </c>
      <c r="X44" s="65">
        <v>0.60799999999999998</v>
      </c>
      <c r="Y44" s="65">
        <v>0.759544</v>
      </c>
      <c r="Z44" s="65">
        <v>0.3826</v>
      </c>
      <c r="AA44" s="65">
        <v>1.8770999999999999E-2</v>
      </c>
      <c r="AB44" s="65">
        <v>6.9759000000000002E-2</v>
      </c>
      <c r="AC44" s="65">
        <v>7.4010000000000006E-2</v>
      </c>
      <c r="AD44" s="65">
        <v>3.9178999999999999E-2</v>
      </c>
      <c r="AE44" s="65">
        <v>0.14291599999999999</v>
      </c>
      <c r="AF44" s="65">
        <v>7.0957000000000006E-2</v>
      </c>
      <c r="AG44" s="65">
        <v>8.7823999999999999E-2</v>
      </c>
      <c r="AH44" s="65">
        <v>0.99189799999999995</v>
      </c>
      <c r="AI44" s="65">
        <v>0.56908199999999998</v>
      </c>
      <c r="AJ44" s="65">
        <v>0.48963400000000001</v>
      </c>
      <c r="AK44" s="65">
        <v>0.14967800000000001</v>
      </c>
      <c r="AL44">
        <v>5.9495478343645882E-3</v>
      </c>
      <c r="AM44">
        <v>0.24327395761224449</v>
      </c>
      <c r="AN44">
        <v>0.1405696997374129</v>
      </c>
      <c r="AO44">
        <v>4.7596382674916704E-3</v>
      </c>
      <c r="AP44">
        <v>6.0818489403061123E-2</v>
      </c>
      <c r="AQ44">
        <v>4.6573915858494699E-2</v>
      </c>
      <c r="AR44">
        <v>8.3769633507853401E-4</v>
      </c>
      <c r="AS44">
        <v>0.23719431805837571</v>
      </c>
      <c r="AT44">
        <v>0.24128686327077739</v>
      </c>
      <c r="AU44">
        <v>6.9808027923211162E-3</v>
      </c>
      <c r="AV44">
        <v>0.15229037783485641</v>
      </c>
      <c r="AW44">
        <v>0.19819181461507179</v>
      </c>
      <c r="AY44">
        <f t="shared" si="1"/>
        <v>0.5949547834364588</v>
      </c>
      <c r="AZ44">
        <f t="shared" si="2"/>
        <v>24.327395761224448</v>
      </c>
      <c r="BA44">
        <f t="shared" si="3"/>
        <v>14.056969973741291</v>
      </c>
      <c r="BB44">
        <f t="shared" si="4"/>
        <v>0.47596382674916704</v>
      </c>
      <c r="BC44">
        <f t="shared" si="5"/>
        <v>6.081848940306112</v>
      </c>
      <c r="BD44">
        <f t="shared" si="6"/>
        <v>4.6573915858494699</v>
      </c>
      <c r="BE44">
        <f t="shared" si="7"/>
        <v>8.3769633507853394E-2</v>
      </c>
      <c r="BF44">
        <f t="shared" si="8"/>
        <v>23.719431805837569</v>
      </c>
      <c r="BG44">
        <f t="shared" si="9"/>
        <v>24.128686327077737</v>
      </c>
      <c r="BH44">
        <f t="shared" si="10"/>
        <v>0.69808027923211158</v>
      </c>
      <c r="BI44">
        <f t="shared" si="11"/>
        <v>15.229037783485641</v>
      </c>
      <c r="BJ44">
        <f t="shared" si="12"/>
        <v>19.819181461507178</v>
      </c>
    </row>
    <row r="45" spans="1:62" ht="15.6" thickBot="1">
      <c r="A45" s="6" t="s">
        <v>123</v>
      </c>
      <c r="B45" s="17" t="s">
        <v>114</v>
      </c>
      <c r="C45" s="37" t="s">
        <v>98</v>
      </c>
      <c r="D45" s="35">
        <v>29.411764705882355</v>
      </c>
      <c r="E45" s="10">
        <v>50.2</v>
      </c>
      <c r="F45" s="10">
        <v>19.485294117647058</v>
      </c>
      <c r="G45" s="10">
        <v>51.102941176470587</v>
      </c>
      <c r="H45" s="11">
        <v>3.8857703703703708</v>
      </c>
      <c r="I45" s="12">
        <v>31.4</v>
      </c>
      <c r="J45" s="14">
        <v>14</v>
      </c>
      <c r="K45" s="14">
        <v>90</v>
      </c>
      <c r="L45" s="15">
        <v>56.999999999999993</v>
      </c>
      <c r="M45" s="13">
        <v>60</v>
      </c>
      <c r="N45" s="15">
        <v>72</v>
      </c>
      <c r="O45" s="16">
        <v>25</v>
      </c>
      <c r="P45" s="15">
        <v>51</v>
      </c>
      <c r="Q45" s="15">
        <v>56.000000000000007</v>
      </c>
      <c r="R45" s="22">
        <v>60</v>
      </c>
      <c r="S45" s="10">
        <v>89</v>
      </c>
      <c r="T45" s="42">
        <v>64.183684729063202</v>
      </c>
      <c r="U45" s="65">
        <v>0.405194</v>
      </c>
      <c r="V45" s="65">
        <v>0.23482</v>
      </c>
      <c r="W45" s="65">
        <v>0.290879</v>
      </c>
      <c r="X45" s="65">
        <v>0.71554799999999996</v>
      </c>
      <c r="Y45" s="65">
        <v>0.92863899999999999</v>
      </c>
      <c r="Z45" s="65">
        <v>0.77954500000000004</v>
      </c>
      <c r="AA45" s="65">
        <v>0.51393500000000003</v>
      </c>
      <c r="AB45" s="65">
        <v>0.47070800000000002</v>
      </c>
      <c r="AC45" s="65">
        <v>0.41654099999999999</v>
      </c>
      <c r="AD45" s="65">
        <v>0.11473700000000001</v>
      </c>
      <c r="AE45" s="65">
        <v>0.214782</v>
      </c>
      <c r="AF45" s="65">
        <v>4.4719000000000002E-2</v>
      </c>
      <c r="AG45" s="65">
        <v>9.4475000000000003E-2</v>
      </c>
      <c r="AH45" s="65">
        <v>0.42430000000000001</v>
      </c>
      <c r="AI45" s="65">
        <v>0.87809000000000004</v>
      </c>
      <c r="AJ45" s="65">
        <v>2.1779999999999998E-3</v>
      </c>
      <c r="AK45" s="65">
        <v>0.3458</v>
      </c>
      <c r="AL45">
        <v>0</v>
      </c>
      <c r="AM45">
        <v>0</v>
      </c>
      <c r="AN45">
        <v>0.3281846061784725</v>
      </c>
      <c r="AO45">
        <v>0</v>
      </c>
      <c r="AP45">
        <v>0</v>
      </c>
      <c r="AQ45">
        <v>0.1017464981496544</v>
      </c>
      <c r="AR45">
        <v>1.024874559624213E-4</v>
      </c>
      <c r="AS45">
        <v>0.1877817512415049</v>
      </c>
      <c r="AT45">
        <v>7.6962189146713503E-2</v>
      </c>
      <c r="AU45">
        <v>0</v>
      </c>
      <c r="AV45">
        <v>0</v>
      </c>
      <c r="AW45">
        <v>9.5736724008975316E-2</v>
      </c>
      <c r="AY45">
        <f t="shared" si="1"/>
        <v>0</v>
      </c>
      <c r="AZ45">
        <f t="shared" si="2"/>
        <v>0</v>
      </c>
      <c r="BA45">
        <f t="shared" si="3"/>
        <v>32.818460617847251</v>
      </c>
      <c r="BB45">
        <f t="shared" si="4"/>
        <v>0</v>
      </c>
      <c r="BC45">
        <f t="shared" si="5"/>
        <v>0</v>
      </c>
      <c r="BD45">
        <f t="shared" si="6"/>
        <v>10.17464981496544</v>
      </c>
      <c r="BE45">
        <f t="shared" si="7"/>
        <v>1.024874559624213E-2</v>
      </c>
      <c r="BF45">
        <f t="shared" si="8"/>
        <v>18.77817512415049</v>
      </c>
      <c r="BG45">
        <f t="shared" si="9"/>
        <v>7.6962189146713502</v>
      </c>
      <c r="BH45">
        <f t="shared" si="10"/>
        <v>0</v>
      </c>
      <c r="BI45">
        <f t="shared" si="11"/>
        <v>0</v>
      </c>
      <c r="BJ45">
        <f t="shared" si="12"/>
        <v>9.5736724008975322</v>
      </c>
    </row>
    <row r="46" spans="1:62" ht="15.6" thickBot="1">
      <c r="A46" s="7" t="s">
        <v>124</v>
      </c>
      <c r="B46" s="9" t="s">
        <v>114</v>
      </c>
      <c r="C46" s="38" t="s">
        <v>98</v>
      </c>
      <c r="D46" s="35">
        <v>29.411764705882355</v>
      </c>
      <c r="E46" s="10">
        <v>50.2</v>
      </c>
      <c r="F46" s="10">
        <v>19.485294117647058</v>
      </c>
      <c r="G46" s="10">
        <v>51.102941176470587</v>
      </c>
      <c r="H46" s="11">
        <v>11.746758064516129</v>
      </c>
      <c r="I46" s="12">
        <v>24.1</v>
      </c>
      <c r="J46" s="14">
        <v>13.3</v>
      </c>
      <c r="K46" s="14">
        <v>90</v>
      </c>
      <c r="L46" s="15">
        <v>56.999999999999993</v>
      </c>
      <c r="M46" s="13">
        <v>60</v>
      </c>
      <c r="N46" s="15">
        <v>72</v>
      </c>
      <c r="O46" s="16">
        <v>25</v>
      </c>
      <c r="P46" s="15">
        <v>51</v>
      </c>
      <c r="Q46" s="15">
        <v>56.000000000000007</v>
      </c>
      <c r="R46" s="22">
        <v>60</v>
      </c>
      <c r="S46" s="10">
        <v>89</v>
      </c>
      <c r="T46" s="42">
        <v>64.845191676584705</v>
      </c>
      <c r="U46" s="65">
        <v>0.68806800000000001</v>
      </c>
      <c r="V46" s="65">
        <v>0.52520299999999998</v>
      </c>
      <c r="W46" s="65">
        <v>0.40818700000000002</v>
      </c>
      <c r="X46" s="65">
        <v>0.78298500000000004</v>
      </c>
      <c r="Y46" s="65">
        <v>0.91944099999999995</v>
      </c>
      <c r="Z46" s="65">
        <v>0.88358099999999995</v>
      </c>
      <c r="AA46" s="65">
        <v>0.64616799999999996</v>
      </c>
      <c r="AB46" s="65">
        <v>0.66409600000000002</v>
      </c>
      <c r="AC46" s="65">
        <v>0.50906799999999996</v>
      </c>
      <c r="AD46" s="65">
        <v>0.17494799999999999</v>
      </c>
      <c r="AE46" s="65">
        <v>0.268731</v>
      </c>
      <c r="AF46" s="65">
        <v>7.6636999999999997E-2</v>
      </c>
      <c r="AG46" s="65">
        <v>2.3687E-2</v>
      </c>
      <c r="AH46" s="65">
        <v>0.60877099999999995</v>
      </c>
      <c r="AI46" s="65">
        <v>0.88397000000000003</v>
      </c>
      <c r="AJ46" s="65">
        <v>0.59584199999999998</v>
      </c>
      <c r="AK46" s="65">
        <v>0.37989699999999998</v>
      </c>
      <c r="AL46">
        <v>0</v>
      </c>
      <c r="AM46">
        <v>0</v>
      </c>
      <c r="AN46">
        <v>0.4113463813843421</v>
      </c>
      <c r="AO46">
        <v>1.8713450292397659E-3</v>
      </c>
      <c r="AP46">
        <v>0.2375815371685488</v>
      </c>
      <c r="AQ46">
        <v>0.15993559056488821</v>
      </c>
      <c r="AR46">
        <v>1.1228070175438599E-4</v>
      </c>
      <c r="AS46">
        <v>0.37063065028457082</v>
      </c>
      <c r="AT46">
        <v>0.24814160370460639</v>
      </c>
      <c r="AU46">
        <v>1.715399610136452E-3</v>
      </c>
      <c r="AV46">
        <v>0.59490760814857047</v>
      </c>
      <c r="AW46">
        <v>0.1914734480179506</v>
      </c>
      <c r="AY46">
        <f t="shared" si="1"/>
        <v>0</v>
      </c>
      <c r="AZ46">
        <f t="shared" si="2"/>
        <v>0</v>
      </c>
      <c r="BA46">
        <f t="shared" si="3"/>
        <v>41.134638138434212</v>
      </c>
      <c r="BB46">
        <f t="shared" si="4"/>
        <v>0.1871345029239766</v>
      </c>
      <c r="BC46">
        <f t="shared" si="5"/>
        <v>23.758153716854878</v>
      </c>
      <c r="BD46">
        <f t="shared" si="6"/>
        <v>15.99355905648882</v>
      </c>
      <c r="BE46">
        <f t="shared" si="7"/>
        <v>1.1228070175438599E-2</v>
      </c>
      <c r="BF46">
        <f t="shared" si="8"/>
        <v>37.063065028457082</v>
      </c>
      <c r="BG46">
        <f t="shared" si="9"/>
        <v>24.814160370460637</v>
      </c>
      <c r="BH46">
        <f t="shared" si="10"/>
        <v>0.17153996101364521</v>
      </c>
      <c r="BI46">
        <f t="shared" si="11"/>
        <v>59.490760814857047</v>
      </c>
      <c r="BJ46">
        <f t="shared" si="12"/>
        <v>19.147344801795061</v>
      </c>
    </row>
    <row r="47" spans="1:62" ht="15.6" thickBot="1">
      <c r="A47" s="6" t="s">
        <v>125</v>
      </c>
      <c r="B47" s="17" t="s">
        <v>114</v>
      </c>
      <c r="C47" s="37" t="s">
        <v>98</v>
      </c>
      <c r="D47" s="35">
        <v>29.411764705882355</v>
      </c>
      <c r="E47" s="10">
        <v>50.2</v>
      </c>
      <c r="F47" s="10">
        <v>19.485294117647058</v>
      </c>
      <c r="G47" s="10">
        <v>51.102941176470587</v>
      </c>
      <c r="H47" s="11">
        <v>27.733699999999999</v>
      </c>
      <c r="I47" s="12">
        <v>32</v>
      </c>
      <c r="J47" s="14">
        <v>8.5</v>
      </c>
      <c r="K47" s="14">
        <v>90</v>
      </c>
      <c r="L47" s="15">
        <v>56.999999999999993</v>
      </c>
      <c r="M47" s="13">
        <v>60</v>
      </c>
      <c r="N47" s="15">
        <v>72</v>
      </c>
      <c r="O47" s="16">
        <v>25</v>
      </c>
      <c r="P47" s="15">
        <v>51</v>
      </c>
      <c r="Q47" s="15">
        <v>56.000000000000007</v>
      </c>
      <c r="R47" s="22">
        <v>60</v>
      </c>
      <c r="S47" s="10">
        <v>89</v>
      </c>
      <c r="T47" s="42">
        <v>68.020520599514498</v>
      </c>
      <c r="U47" s="65">
        <v>0.580816</v>
      </c>
      <c r="V47" s="65">
        <v>0.30587599999999998</v>
      </c>
      <c r="W47" s="65">
        <v>0.504718</v>
      </c>
      <c r="X47" s="65">
        <v>0.58769800000000005</v>
      </c>
      <c r="Y47" s="65">
        <v>0.92804600000000004</v>
      </c>
      <c r="Z47" s="65">
        <v>0.895787</v>
      </c>
      <c r="AA47" s="65">
        <v>1</v>
      </c>
      <c r="AB47" s="65">
        <v>0.81082699999999996</v>
      </c>
      <c r="AC47" s="65">
        <v>0.90342500000000003</v>
      </c>
      <c r="AD47" s="65">
        <v>0.20075399999999999</v>
      </c>
      <c r="AE47" s="65">
        <v>0.83960500000000005</v>
      </c>
      <c r="AF47" s="65">
        <v>0.15378</v>
      </c>
      <c r="AG47" s="65">
        <v>3.8556E-2</v>
      </c>
      <c r="AH47" s="65">
        <v>0.40358300000000003</v>
      </c>
      <c r="AI47" s="65">
        <v>0.94708999999999999</v>
      </c>
      <c r="AJ47" s="65">
        <v>0.58900799999999998</v>
      </c>
      <c r="AK47" s="65">
        <v>0.33111499999999999</v>
      </c>
      <c r="AL47">
        <v>4.3425395171096054E-3</v>
      </c>
      <c r="AM47">
        <v>0.31685871559818551</v>
      </c>
      <c r="AN47">
        <v>0.38046511383021281</v>
      </c>
      <c r="AO47">
        <v>4.6320421515835792E-4</v>
      </c>
      <c r="AP47">
        <v>0.1056195718660618</v>
      </c>
      <c r="AQ47">
        <v>9.2976228000273789E-2</v>
      </c>
      <c r="AR47">
        <v>5.5584505819002952E-4</v>
      </c>
      <c r="AS47">
        <v>0.2471521003064624</v>
      </c>
      <c r="AT47">
        <v>0.38184231760326909</v>
      </c>
      <c r="AU47">
        <v>1.6984154555806459E-3</v>
      </c>
      <c r="AV47">
        <v>0.26447293683405332</v>
      </c>
      <c r="AW47">
        <v>0.48611948210382622</v>
      </c>
      <c r="AY47">
        <f t="shared" si="1"/>
        <v>0.43425395171096054</v>
      </c>
      <c r="AZ47">
        <f t="shared" si="2"/>
        <v>31.685871559818551</v>
      </c>
      <c r="BA47">
        <f t="shared" si="3"/>
        <v>38.046511383021283</v>
      </c>
      <c r="BB47">
        <f t="shared" si="4"/>
        <v>4.6320421515835791E-2</v>
      </c>
      <c r="BC47">
        <f t="shared" si="5"/>
        <v>10.561957186606181</v>
      </c>
      <c r="BD47">
        <f t="shared" si="6"/>
        <v>9.2976228000273782</v>
      </c>
      <c r="BE47">
        <f t="shared" si="7"/>
        <v>5.5584505819002955E-2</v>
      </c>
      <c r="BF47">
        <f t="shared" si="8"/>
        <v>24.71521003064624</v>
      </c>
      <c r="BG47">
        <f t="shared" si="9"/>
        <v>38.184231760326909</v>
      </c>
      <c r="BH47">
        <f t="shared" si="10"/>
        <v>0.16984154555806458</v>
      </c>
      <c r="BI47">
        <f t="shared" si="11"/>
        <v>26.447293683405331</v>
      </c>
      <c r="BJ47">
        <f t="shared" si="12"/>
        <v>48.611948210382621</v>
      </c>
    </row>
    <row r="48" spans="1:62" ht="15.6" thickBot="1">
      <c r="A48" s="7" t="s">
        <v>126</v>
      </c>
      <c r="B48" s="9" t="s">
        <v>127</v>
      </c>
      <c r="C48" s="38" t="s">
        <v>69</v>
      </c>
      <c r="D48" s="35">
        <v>46.017699115044245</v>
      </c>
      <c r="E48" s="10">
        <v>65.599999999999994</v>
      </c>
      <c r="F48" s="10">
        <v>10.619469026548673</v>
      </c>
      <c r="G48" s="10">
        <v>43.362831858407077</v>
      </c>
      <c r="H48" s="11">
        <v>46.316341176470587</v>
      </c>
      <c r="I48" s="12">
        <v>35.799999999999997</v>
      </c>
      <c r="J48" s="14">
        <v>10.7</v>
      </c>
      <c r="K48" s="14">
        <v>94</v>
      </c>
      <c r="L48" s="15">
        <v>42</v>
      </c>
      <c r="M48" s="13">
        <v>59</v>
      </c>
      <c r="N48" s="15">
        <v>78</v>
      </c>
      <c r="O48" s="16">
        <v>28.000000000000004</v>
      </c>
      <c r="P48" s="15">
        <v>86</v>
      </c>
      <c r="Q48" s="15">
        <v>78</v>
      </c>
      <c r="R48" s="22">
        <v>70</v>
      </c>
      <c r="S48" s="10">
        <v>74</v>
      </c>
      <c r="T48" s="42">
        <v>73.442608050729206</v>
      </c>
      <c r="U48" s="65">
        <v>0.274482</v>
      </c>
      <c r="V48" s="65">
        <v>0.271146</v>
      </c>
      <c r="W48" s="65">
        <v>2.9238E-2</v>
      </c>
      <c r="X48" s="65">
        <v>0.76689300000000005</v>
      </c>
      <c r="Y48" s="65">
        <v>0</v>
      </c>
      <c r="Z48" s="65">
        <v>0.72525200000000001</v>
      </c>
      <c r="AA48" s="65">
        <v>0.119586</v>
      </c>
      <c r="AB48" s="65">
        <v>0.48803400000000002</v>
      </c>
      <c r="AC48" s="65">
        <v>0.387241</v>
      </c>
      <c r="AD48" s="65">
        <v>1</v>
      </c>
      <c r="AE48" s="65">
        <v>0.40547</v>
      </c>
      <c r="AF48" s="65">
        <v>1</v>
      </c>
      <c r="AG48" s="65">
        <v>0.41109000000000001</v>
      </c>
      <c r="AH48" s="65">
        <v>0.37437399999999998</v>
      </c>
      <c r="AI48" s="65">
        <v>0.90609399999999996</v>
      </c>
      <c r="AJ48" s="65">
        <v>0.172263</v>
      </c>
      <c r="AK48" s="65">
        <v>0.56940000000000002</v>
      </c>
      <c r="AL48">
        <v>5.5017605633802822E-3</v>
      </c>
      <c r="AM48">
        <v>0.13599580480614221</v>
      </c>
      <c r="AN48">
        <v>0.1434833694866233</v>
      </c>
      <c r="AO48">
        <v>0</v>
      </c>
      <c r="AP48">
        <v>0</v>
      </c>
      <c r="AQ48">
        <v>6.165317550120405E-3</v>
      </c>
      <c r="AR48">
        <v>3.708920187793428E-3</v>
      </c>
      <c r="AS48">
        <v>7.0718477218364412E-2</v>
      </c>
      <c r="AT48">
        <v>0.31166219839142079</v>
      </c>
      <c r="AU48">
        <v>1.291079812206573E-2</v>
      </c>
      <c r="AV48">
        <v>0.11351182127431771</v>
      </c>
      <c r="AW48">
        <v>0.39890301670406381</v>
      </c>
      <c r="AY48">
        <f t="shared" si="1"/>
        <v>0.55017605633802824</v>
      </c>
      <c r="AZ48">
        <f t="shared" si="2"/>
        <v>13.59958048061422</v>
      </c>
      <c r="BA48">
        <f t="shared" si="3"/>
        <v>14.348336948662329</v>
      </c>
      <c r="BB48">
        <f t="shared" si="4"/>
        <v>0</v>
      </c>
      <c r="BC48">
        <f t="shared" si="5"/>
        <v>0</v>
      </c>
      <c r="BD48">
        <f t="shared" si="6"/>
        <v>0.61653175501204049</v>
      </c>
      <c r="BE48">
        <f t="shared" si="7"/>
        <v>0.3708920187793428</v>
      </c>
      <c r="BF48">
        <f t="shared" si="8"/>
        <v>7.0718477218364413</v>
      </c>
      <c r="BG48">
        <f t="shared" si="9"/>
        <v>31.16621983914208</v>
      </c>
      <c r="BH48">
        <f t="shared" si="10"/>
        <v>1.291079812206573</v>
      </c>
      <c r="BI48">
        <f t="shared" si="11"/>
        <v>11.351182127431771</v>
      </c>
      <c r="BJ48">
        <f t="shared" si="12"/>
        <v>39.89030167040638</v>
      </c>
    </row>
    <row r="49" spans="1:62" ht="15.6" thickBot="1">
      <c r="A49" s="6" t="s">
        <v>128</v>
      </c>
      <c r="B49" s="17" t="s">
        <v>127</v>
      </c>
      <c r="C49" s="37" t="s">
        <v>69</v>
      </c>
      <c r="D49" s="35">
        <v>46.017699115044245</v>
      </c>
      <c r="E49" s="10">
        <v>65.599999999999994</v>
      </c>
      <c r="F49" s="10">
        <v>10.619469026548673</v>
      </c>
      <c r="G49" s="10">
        <v>43.362831858407077</v>
      </c>
      <c r="H49" s="11">
        <v>70.232470000000006</v>
      </c>
      <c r="I49" s="12">
        <v>42.8</v>
      </c>
      <c r="J49" s="14">
        <v>12.6</v>
      </c>
      <c r="K49" s="14">
        <v>94</v>
      </c>
      <c r="L49" s="15">
        <v>42</v>
      </c>
      <c r="M49" s="13">
        <v>59</v>
      </c>
      <c r="N49" s="15">
        <v>78</v>
      </c>
      <c r="O49" s="16">
        <v>28.000000000000004</v>
      </c>
      <c r="P49" s="15">
        <v>86</v>
      </c>
      <c r="Q49" s="15">
        <v>78</v>
      </c>
      <c r="R49" s="22">
        <v>70</v>
      </c>
      <c r="S49" s="10">
        <v>74</v>
      </c>
      <c r="T49" s="42">
        <v>71.268282212563008</v>
      </c>
      <c r="U49" s="65">
        <v>0.13527500000000001</v>
      </c>
      <c r="V49" s="65">
        <v>0.141794</v>
      </c>
      <c r="W49" s="65">
        <v>0</v>
      </c>
      <c r="X49" s="65">
        <v>0.52147299999999996</v>
      </c>
      <c r="Y49" s="65"/>
      <c r="Z49" s="65">
        <v>0.50323300000000004</v>
      </c>
      <c r="AA49" s="65">
        <v>0.16103000000000001</v>
      </c>
      <c r="AB49" s="65">
        <v>0.29985899999999999</v>
      </c>
      <c r="AC49" s="65">
        <v>0.36916199999999999</v>
      </c>
      <c r="AD49" s="65"/>
      <c r="AE49" s="65">
        <v>0.36730699999999999</v>
      </c>
      <c r="AF49" s="65"/>
      <c r="AG49" s="65"/>
      <c r="AH49" s="65">
        <v>0.48162500000000003</v>
      </c>
      <c r="AI49" s="65">
        <v>0.56662400000000002</v>
      </c>
      <c r="AJ49" s="65">
        <v>1</v>
      </c>
      <c r="AK49" s="65">
        <v>1</v>
      </c>
      <c r="AL49">
        <v>0</v>
      </c>
      <c r="AM49">
        <v>0</v>
      </c>
      <c r="AN49">
        <v>0</v>
      </c>
      <c r="AO49">
        <v>4.6565774155995351E-3</v>
      </c>
      <c r="AP49">
        <v>3.0234308828815532E-2</v>
      </c>
      <c r="AQ49">
        <v>0</v>
      </c>
      <c r="AR49">
        <v>9.3131548311990685E-3</v>
      </c>
      <c r="AS49">
        <v>3.537447083118251E-2</v>
      </c>
      <c r="AT49">
        <v>0</v>
      </c>
      <c r="AU49">
        <v>9.3907644547923941E-2</v>
      </c>
      <c r="AV49">
        <v>3.7853573479944932E-2</v>
      </c>
      <c r="AW49">
        <v>0</v>
      </c>
      <c r="AY49">
        <f t="shared" si="1"/>
        <v>0</v>
      </c>
      <c r="AZ49">
        <f t="shared" si="2"/>
        <v>0</v>
      </c>
      <c r="BA49">
        <f t="shared" si="3"/>
        <v>0</v>
      </c>
      <c r="BB49">
        <f t="shared" si="4"/>
        <v>0.46565774155995349</v>
      </c>
      <c r="BC49">
        <f t="shared" si="5"/>
        <v>3.023430882881553</v>
      </c>
      <c r="BD49">
        <f t="shared" si="6"/>
        <v>0</v>
      </c>
      <c r="BE49">
        <f t="shared" si="7"/>
        <v>0.93131548311990686</v>
      </c>
      <c r="BF49">
        <f t="shared" si="8"/>
        <v>3.5374470831182512</v>
      </c>
      <c r="BG49">
        <f t="shared" si="9"/>
        <v>0</v>
      </c>
      <c r="BH49">
        <f t="shared" si="10"/>
        <v>9.3907644547923947</v>
      </c>
      <c r="BI49">
        <f t="shared" si="11"/>
        <v>3.7853573479944931</v>
      </c>
      <c r="BJ49">
        <f t="shared" si="12"/>
        <v>0</v>
      </c>
    </row>
    <row r="50" spans="1:62" ht="15.6" thickBot="1">
      <c r="A50" s="7" t="s">
        <v>129</v>
      </c>
      <c r="B50" s="9" t="s">
        <v>53</v>
      </c>
      <c r="C50" s="38" t="s">
        <v>54</v>
      </c>
      <c r="D50" s="35">
        <v>35.483870967741936</v>
      </c>
      <c r="E50" s="10">
        <v>49.5</v>
      </c>
      <c r="F50" s="10">
        <v>17.419354838709676</v>
      </c>
      <c r="G50" s="10">
        <v>47.096774193548384</v>
      </c>
      <c r="H50" s="11">
        <v>68.854875609756093</v>
      </c>
      <c r="I50" s="12">
        <v>73.599999999999994</v>
      </c>
      <c r="J50" s="14">
        <v>29.1</v>
      </c>
      <c r="K50" s="14">
        <v>97</v>
      </c>
      <c r="L50" s="15">
        <v>38</v>
      </c>
      <c r="M50" s="15">
        <v>67</v>
      </c>
      <c r="N50" s="15">
        <v>84</v>
      </c>
      <c r="O50" s="16">
        <v>31</v>
      </c>
      <c r="P50" s="15">
        <v>74</v>
      </c>
      <c r="Q50" s="15">
        <v>78</v>
      </c>
      <c r="R50" s="22">
        <v>62</v>
      </c>
      <c r="S50" s="10">
        <v>79</v>
      </c>
      <c r="T50" s="42">
        <v>67.230907293876399</v>
      </c>
      <c r="U50" s="65">
        <v>7.5469999999999999E-3</v>
      </c>
      <c r="V50" s="65">
        <v>3.3376000000000003E-2</v>
      </c>
      <c r="W50" s="65">
        <v>7.2387000000000007E-2</v>
      </c>
      <c r="X50" s="65">
        <v>0.80809799999999998</v>
      </c>
      <c r="Y50" s="65">
        <v>0.96286499999999997</v>
      </c>
      <c r="Z50" s="65">
        <v>0.164908</v>
      </c>
      <c r="AA50" s="65">
        <v>3.1614999999999997E-2</v>
      </c>
      <c r="AB50" s="65">
        <v>0.126892</v>
      </c>
      <c r="AC50" s="65">
        <v>8.8673000000000002E-2</v>
      </c>
      <c r="AD50" s="65">
        <v>1.9965E-2</v>
      </c>
      <c r="AE50" s="65">
        <v>0.116449</v>
      </c>
      <c r="AF50" s="65">
        <v>1.6593E-2</v>
      </c>
      <c r="AG50" s="65">
        <v>1.6289000000000001E-2</v>
      </c>
      <c r="AH50" s="65">
        <v>0.169268</v>
      </c>
      <c r="AI50" s="65">
        <v>0.28879300000000002</v>
      </c>
      <c r="AJ50" s="65">
        <v>0.187636</v>
      </c>
      <c r="AK50" s="65">
        <v>0.68362699999999998</v>
      </c>
      <c r="AL50">
        <v>0.14204545454545461</v>
      </c>
      <c r="AM50">
        <v>1.3076937849735079E-2</v>
      </c>
      <c r="AN50">
        <v>1.841252858064138E-2</v>
      </c>
      <c r="AO50">
        <v>0.18181818181818191</v>
      </c>
      <c r="AP50">
        <v>1.3076937849735079E-2</v>
      </c>
      <c r="AQ50">
        <v>1.089467481233518E-2</v>
      </c>
      <c r="AR50">
        <v>0.21090909090909091</v>
      </c>
      <c r="AS50">
        <v>3.060031960021244E-2</v>
      </c>
      <c r="AT50">
        <v>0.18911673067169049</v>
      </c>
      <c r="AU50">
        <v>1</v>
      </c>
      <c r="AV50">
        <v>9.8234525007399501E-2</v>
      </c>
      <c r="AW50">
        <v>0.18565162020659401</v>
      </c>
      <c r="AY50">
        <f t="shared" si="1"/>
        <v>14.204545454545462</v>
      </c>
      <c r="AZ50">
        <f t="shared" si="2"/>
        <v>1.307693784973508</v>
      </c>
      <c r="BA50">
        <f t="shared" si="3"/>
        <v>1.8412528580641379</v>
      </c>
      <c r="BB50">
        <f t="shared" si="4"/>
        <v>18.181818181818191</v>
      </c>
      <c r="BC50">
        <f t="shared" si="5"/>
        <v>1.307693784973508</v>
      </c>
      <c r="BD50">
        <f t="shared" si="6"/>
        <v>1.0894674812335181</v>
      </c>
      <c r="BE50">
        <f t="shared" si="7"/>
        <v>21.09090909090909</v>
      </c>
      <c r="BF50">
        <f t="shared" si="8"/>
        <v>3.0600319600212438</v>
      </c>
      <c r="BG50">
        <f t="shared" si="9"/>
        <v>18.911673067169048</v>
      </c>
      <c r="BH50">
        <f t="shared" si="10"/>
        <v>100</v>
      </c>
      <c r="BI50">
        <f t="shared" si="11"/>
        <v>9.8234525007399505</v>
      </c>
      <c r="BJ50">
        <f t="shared" si="12"/>
        <v>18.5651620206594</v>
      </c>
    </row>
    <row r="51" spans="1:62" ht="15.6" thickBot="1">
      <c r="A51" s="6" t="s">
        <v>130</v>
      </c>
      <c r="B51" s="17" t="s">
        <v>131</v>
      </c>
      <c r="C51" s="37" t="s">
        <v>60</v>
      </c>
      <c r="D51" s="35">
        <v>36.068895643363732</v>
      </c>
      <c r="E51" s="10">
        <v>182.1</v>
      </c>
      <c r="F51" s="10">
        <v>37.08206686930091</v>
      </c>
      <c r="G51" s="10">
        <v>26.849037487335359</v>
      </c>
      <c r="H51" s="11">
        <v>48.997655882352944</v>
      </c>
      <c r="I51" s="12">
        <v>75.900000000000006</v>
      </c>
      <c r="J51" s="14">
        <v>5.5</v>
      </c>
      <c r="K51" s="14">
        <v>96</v>
      </c>
      <c r="L51" s="15">
        <v>28.000000000000004</v>
      </c>
      <c r="M51" s="13">
        <v>68</v>
      </c>
      <c r="N51" s="15">
        <v>78</v>
      </c>
      <c r="O51" s="16">
        <v>22</v>
      </c>
      <c r="P51" s="15">
        <v>73</v>
      </c>
      <c r="Q51" s="15">
        <v>81</v>
      </c>
      <c r="R51" s="22">
        <v>71</v>
      </c>
      <c r="S51" s="10">
        <v>91</v>
      </c>
      <c r="T51" s="42">
        <v>56.099381510703331</v>
      </c>
      <c r="U51" s="65">
        <v>4.2036999999999998E-2</v>
      </c>
      <c r="V51" s="65">
        <v>5.6888000000000001E-2</v>
      </c>
      <c r="W51" s="65">
        <v>0.10520400000000001</v>
      </c>
      <c r="X51" s="65">
        <v>0.94321500000000003</v>
      </c>
      <c r="Y51" s="65">
        <v>0.97737700000000005</v>
      </c>
      <c r="Z51" s="65">
        <v>0.62651100000000004</v>
      </c>
      <c r="AA51" s="65">
        <v>2.3106999999999999E-2</v>
      </c>
      <c r="AB51" s="65">
        <v>0.327214</v>
      </c>
      <c r="AC51" s="65">
        <v>0.154947</v>
      </c>
      <c r="AD51" s="65">
        <v>4.7639000000000001E-2</v>
      </c>
      <c r="AE51" s="65">
        <v>0.36582300000000001</v>
      </c>
      <c r="AF51" s="65">
        <v>9.6004000000000006E-2</v>
      </c>
      <c r="AG51" s="65">
        <v>0</v>
      </c>
      <c r="AH51" s="65">
        <v>0.105633</v>
      </c>
      <c r="AI51" s="65">
        <v>0.84036599999999995</v>
      </c>
      <c r="AJ51" s="65">
        <v>4.5118999999999999E-2</v>
      </c>
      <c r="AK51" s="65">
        <v>0.35418300000000003</v>
      </c>
      <c r="AL51">
        <v>0</v>
      </c>
      <c r="AM51">
        <v>0</v>
      </c>
      <c r="AN51">
        <v>3.2855921484946329E-2</v>
      </c>
      <c r="AO51">
        <v>0</v>
      </c>
      <c r="AP51">
        <v>0</v>
      </c>
      <c r="AQ51">
        <v>1.743630715458463E-3</v>
      </c>
      <c r="AR51">
        <v>9.5513307984790866E-2</v>
      </c>
      <c r="AS51">
        <v>2.4560601877456768E-2</v>
      </c>
      <c r="AT51">
        <v>0.31438027787723438</v>
      </c>
      <c r="AU51">
        <v>5.5766793409378963E-2</v>
      </c>
      <c r="AV51">
        <v>3.9422775494656247E-2</v>
      </c>
      <c r="AW51">
        <v>4.8024285007759612E-2</v>
      </c>
      <c r="AY51">
        <f t="shared" si="1"/>
        <v>0</v>
      </c>
      <c r="AZ51">
        <f t="shared" si="2"/>
        <v>0</v>
      </c>
      <c r="BA51">
        <f t="shared" si="3"/>
        <v>3.2855921484946329</v>
      </c>
      <c r="BB51">
        <f t="shared" si="4"/>
        <v>0</v>
      </c>
      <c r="BC51">
        <f t="shared" si="5"/>
        <v>0</v>
      </c>
      <c r="BD51">
        <f t="shared" si="6"/>
        <v>0.17436307154584629</v>
      </c>
      <c r="BE51">
        <f t="shared" si="7"/>
        <v>9.5513307984790874</v>
      </c>
      <c r="BF51">
        <f t="shared" si="8"/>
        <v>2.4560601877456767</v>
      </c>
      <c r="BG51">
        <f t="shared" si="9"/>
        <v>31.438027787723438</v>
      </c>
      <c r="BH51">
        <f t="shared" si="10"/>
        <v>5.5766793409378961</v>
      </c>
      <c r="BI51">
        <f t="shared" si="11"/>
        <v>3.9422775494656248</v>
      </c>
      <c r="BJ51">
        <f t="shared" si="12"/>
        <v>4.8024285007759611</v>
      </c>
    </row>
    <row r="52" spans="1:62" ht="15.6" thickBot="1">
      <c r="A52" s="7" t="s">
        <v>132</v>
      </c>
      <c r="B52" s="9" t="s">
        <v>133</v>
      </c>
      <c r="C52" s="38" t="s">
        <v>134</v>
      </c>
      <c r="D52" s="35">
        <v>43.640897755610972</v>
      </c>
      <c r="E52" s="10">
        <v>96</v>
      </c>
      <c r="F52" s="10">
        <v>13.96508728179551</v>
      </c>
      <c r="G52" s="10">
        <v>42.394014962593516</v>
      </c>
      <c r="H52" s="11">
        <v>16.626180645161291</v>
      </c>
      <c r="I52" s="12">
        <v>32</v>
      </c>
      <c r="J52" s="14">
        <v>13</v>
      </c>
      <c r="K52" s="14">
        <v>89</v>
      </c>
      <c r="L52" s="15">
        <v>69</v>
      </c>
      <c r="M52" s="13">
        <v>49</v>
      </c>
      <c r="N52" s="15">
        <v>62</v>
      </c>
      <c r="O52" s="16">
        <v>32</v>
      </c>
      <c r="P52" s="15">
        <v>78</v>
      </c>
      <c r="Q52" s="15">
        <v>57.999999999999993</v>
      </c>
      <c r="R52" s="22">
        <v>56.000000000000007</v>
      </c>
      <c r="S52" s="10">
        <v>71</v>
      </c>
      <c r="T52" s="42">
        <v>77.798226740829648</v>
      </c>
      <c r="U52" s="65">
        <v>0.26907700000000001</v>
      </c>
      <c r="V52" s="65">
        <v>0.25500099999999998</v>
      </c>
      <c r="W52" s="65">
        <v>0.31798399999999999</v>
      </c>
      <c r="X52" s="65">
        <v>0.79590099999999997</v>
      </c>
      <c r="Y52" s="65">
        <v>0.92685600000000001</v>
      </c>
      <c r="Z52" s="65">
        <v>0.60434500000000002</v>
      </c>
      <c r="AA52" s="65">
        <v>0.187856</v>
      </c>
      <c r="AB52" s="65">
        <v>0.47606799999999999</v>
      </c>
      <c r="AC52" s="65">
        <v>0.35301100000000002</v>
      </c>
      <c r="AD52" s="65">
        <v>0.117729</v>
      </c>
      <c r="AE52" s="65">
        <v>0.477437</v>
      </c>
      <c r="AF52" s="65">
        <v>0.13562399999999999</v>
      </c>
      <c r="AG52" s="65">
        <v>0</v>
      </c>
      <c r="AH52" s="65">
        <v>0.44898300000000002</v>
      </c>
      <c r="AI52" s="65">
        <v>0.791049</v>
      </c>
      <c r="AJ52" s="65">
        <v>0.48954500000000001</v>
      </c>
      <c r="AK52" s="65">
        <v>0.66430100000000003</v>
      </c>
      <c r="AL52">
        <v>7.1338888254765453E-3</v>
      </c>
      <c r="AM52">
        <v>5.7014439379816692E-2</v>
      </c>
      <c r="AN52">
        <v>0.31632423361846679</v>
      </c>
      <c r="AO52">
        <v>0</v>
      </c>
      <c r="AP52">
        <v>0</v>
      </c>
      <c r="AQ52">
        <v>1.0099898672561289E-2</v>
      </c>
      <c r="AR52">
        <v>1.3149183883118371E-3</v>
      </c>
      <c r="AS52">
        <v>0.1334150308655534</v>
      </c>
      <c r="AT52">
        <v>0.13521169507815259</v>
      </c>
      <c r="AU52">
        <v>3.3481718220903251E-3</v>
      </c>
      <c r="AV52">
        <v>0.1427649815116549</v>
      </c>
      <c r="AW52">
        <v>0.10693611436474219</v>
      </c>
      <c r="AY52">
        <f t="shared" si="1"/>
        <v>0.71338888254765453</v>
      </c>
      <c r="AZ52">
        <f t="shared" si="2"/>
        <v>5.7014439379816695</v>
      </c>
      <c r="BA52">
        <f t="shared" si="3"/>
        <v>31.63242336184668</v>
      </c>
      <c r="BB52">
        <f t="shared" si="4"/>
        <v>0</v>
      </c>
      <c r="BC52">
        <f t="shared" si="5"/>
        <v>0</v>
      </c>
      <c r="BD52">
        <f t="shared" si="6"/>
        <v>1.0099898672561289</v>
      </c>
      <c r="BE52">
        <f t="shared" si="7"/>
        <v>0.1314918388311837</v>
      </c>
      <c r="BF52">
        <f t="shared" si="8"/>
        <v>13.34150308655534</v>
      </c>
      <c r="BG52">
        <f t="shared" si="9"/>
        <v>13.521169507815259</v>
      </c>
      <c r="BH52">
        <f t="shared" si="10"/>
        <v>0.3348171822090325</v>
      </c>
      <c r="BI52">
        <f t="shared" si="11"/>
        <v>14.276498151165489</v>
      </c>
      <c r="BJ52">
        <f t="shared" si="12"/>
        <v>10.693611436474219</v>
      </c>
    </row>
    <row r="53" spans="1:62" ht="30.6" thickBot="1">
      <c r="A53" s="6" t="s">
        <v>135</v>
      </c>
      <c r="B53" s="17" t="s">
        <v>136</v>
      </c>
      <c r="C53" s="37" t="s">
        <v>98</v>
      </c>
      <c r="D53" s="35">
        <v>29.411764705882355</v>
      </c>
      <c r="E53" s="10">
        <v>50.2</v>
      </c>
      <c r="F53" s="10">
        <v>19.485294117647058</v>
      </c>
      <c r="G53" s="10">
        <v>51.102941176470587</v>
      </c>
      <c r="H53" s="11">
        <v>6.3025874999999996</v>
      </c>
      <c r="I53" s="12">
        <v>34.1</v>
      </c>
      <c r="J53" s="14">
        <v>8.9</v>
      </c>
      <c r="K53" s="14">
        <v>99</v>
      </c>
      <c r="L53" s="15">
        <v>41</v>
      </c>
      <c r="M53" s="13">
        <v>67</v>
      </c>
      <c r="N53" s="15">
        <v>75</v>
      </c>
      <c r="O53" s="16">
        <v>28.000000000000004</v>
      </c>
      <c r="P53" s="15">
        <v>55.000000000000007</v>
      </c>
      <c r="Q53" s="15">
        <v>55.000000000000007</v>
      </c>
      <c r="R53" s="22">
        <v>60</v>
      </c>
      <c r="S53" s="10">
        <v>86</v>
      </c>
      <c r="T53" s="42">
        <v>65.380935118685173</v>
      </c>
      <c r="U53" s="65">
        <v>0.39947100000000002</v>
      </c>
      <c r="V53" s="65">
        <v>0.232463</v>
      </c>
      <c r="W53" s="65">
        <v>0.368618</v>
      </c>
      <c r="X53" s="65">
        <v>0.66547800000000001</v>
      </c>
      <c r="Y53" s="65">
        <v>0.92024399999999995</v>
      </c>
      <c r="Z53" s="65">
        <v>0.58530400000000005</v>
      </c>
      <c r="AA53" s="65">
        <v>0.517953</v>
      </c>
      <c r="AB53" s="65">
        <v>0.59038100000000004</v>
      </c>
      <c r="AC53" s="65">
        <v>0.575735</v>
      </c>
      <c r="AD53" s="65">
        <v>0.15428700000000001</v>
      </c>
      <c r="AE53" s="65">
        <v>0.49484299999999998</v>
      </c>
      <c r="AF53" s="65">
        <v>0.108805</v>
      </c>
      <c r="AG53" s="65">
        <v>1.6046000000000001E-2</v>
      </c>
      <c r="AH53" s="65">
        <v>0.38794099999999998</v>
      </c>
      <c r="AI53" s="65">
        <v>0.89005000000000001</v>
      </c>
      <c r="AJ53" s="65">
        <v>0.53342500000000004</v>
      </c>
      <c r="AK53" s="65">
        <v>0.33594000000000002</v>
      </c>
      <c r="AL53">
        <v>3.8835956917978461E-3</v>
      </c>
      <c r="AM53">
        <v>0.1628481849328364</v>
      </c>
      <c r="AN53">
        <v>0.31897140983880973</v>
      </c>
      <c r="AO53">
        <v>1.6570008285004139E-3</v>
      </c>
      <c r="AP53">
        <v>0.1085654566218909</v>
      </c>
      <c r="AQ53">
        <v>5.1090390108922863E-2</v>
      </c>
      <c r="AR53">
        <v>2.054681027340514E-3</v>
      </c>
      <c r="AS53">
        <v>0.1693636898967732</v>
      </c>
      <c r="AT53">
        <v>0.76847150504728312</v>
      </c>
      <c r="AU53">
        <v>9.1135045567522777E-3</v>
      </c>
      <c r="AV53">
        <v>0.27184947490539468</v>
      </c>
      <c r="AW53">
        <v>0.38602524729020909</v>
      </c>
      <c r="AY53">
        <f t="shared" si="1"/>
        <v>0.38835956917978459</v>
      </c>
      <c r="AZ53">
        <f t="shared" si="2"/>
        <v>16.284818493283641</v>
      </c>
      <c r="BA53">
        <f t="shared" si="3"/>
        <v>31.897140983880973</v>
      </c>
      <c r="BB53">
        <f t="shared" si="4"/>
        <v>0.1657000828500414</v>
      </c>
      <c r="BC53">
        <f t="shared" si="5"/>
        <v>10.85654566218909</v>
      </c>
      <c r="BD53">
        <f t="shared" si="6"/>
        <v>5.1090390108922863</v>
      </c>
      <c r="BE53">
        <f t="shared" si="7"/>
        <v>0.20546810273405139</v>
      </c>
      <c r="BF53">
        <f t="shared" si="8"/>
        <v>16.93636898967732</v>
      </c>
      <c r="BG53">
        <f t="shared" si="9"/>
        <v>76.847150504728319</v>
      </c>
      <c r="BH53">
        <f t="shared" si="10"/>
        <v>0.91135045567522777</v>
      </c>
      <c r="BI53">
        <f t="shared" si="11"/>
        <v>27.184947490539468</v>
      </c>
      <c r="BJ53">
        <f t="shared" si="12"/>
        <v>38.602524729020907</v>
      </c>
    </row>
    <row r="54" spans="1:62" ht="15.6" thickBot="1">
      <c r="A54" s="7" t="s">
        <v>137</v>
      </c>
      <c r="B54" s="19" t="s">
        <v>75</v>
      </c>
      <c r="C54" s="38" t="s">
        <v>69</v>
      </c>
      <c r="D54" s="35">
        <v>46.017699115044245</v>
      </c>
      <c r="E54" s="10">
        <v>65.599999999999994</v>
      </c>
      <c r="F54" s="10">
        <v>10.619469026548673</v>
      </c>
      <c r="G54" s="10">
        <v>43.362831858407077</v>
      </c>
      <c r="H54" s="11">
        <v>4.0533255172413796</v>
      </c>
      <c r="I54" s="12">
        <v>35.5</v>
      </c>
      <c r="J54" s="14">
        <v>10.8</v>
      </c>
      <c r="K54" s="14">
        <v>91</v>
      </c>
      <c r="L54" s="15">
        <v>56.999999999999993</v>
      </c>
      <c r="M54" s="13">
        <v>56</v>
      </c>
      <c r="N54" s="15">
        <v>72</v>
      </c>
      <c r="O54" s="16">
        <v>25</v>
      </c>
      <c r="P54" s="15">
        <v>73</v>
      </c>
      <c r="Q54" s="15">
        <v>67</v>
      </c>
      <c r="R54" s="22">
        <v>70</v>
      </c>
      <c r="S54" s="10">
        <v>70</v>
      </c>
      <c r="T54" s="42">
        <v>70.951363938556199</v>
      </c>
      <c r="U54" s="65">
        <v>0.29071000000000002</v>
      </c>
      <c r="V54" s="65">
        <v>0.20558899999999999</v>
      </c>
      <c r="W54" s="65">
        <v>0.49451499999999998</v>
      </c>
      <c r="X54" s="65">
        <v>0.55025299999999999</v>
      </c>
      <c r="Y54" s="65">
        <v>0.89893999999999996</v>
      </c>
      <c r="Z54" s="65">
        <v>0.62529299999999999</v>
      </c>
      <c r="AA54" s="65">
        <v>0.34284700000000001</v>
      </c>
      <c r="AB54" s="65">
        <v>0.37607000000000002</v>
      </c>
      <c r="AC54" s="65">
        <v>0.44367299999999998</v>
      </c>
      <c r="AD54" s="65">
        <v>0.112857</v>
      </c>
      <c r="AE54" s="65">
        <v>0.39715400000000001</v>
      </c>
      <c r="AF54" s="65">
        <v>8.0916000000000002E-2</v>
      </c>
      <c r="AG54" s="65">
        <v>3.1615999999999998E-2</v>
      </c>
      <c r="AH54" s="65">
        <v>0.58398700000000003</v>
      </c>
      <c r="AI54" s="65">
        <v>0.83425000000000005</v>
      </c>
      <c r="AJ54" s="65">
        <v>0.66882399999999997</v>
      </c>
      <c r="AK54" s="65">
        <v>0.47458800000000001</v>
      </c>
      <c r="AL54">
        <v>1.43992627577468E-3</v>
      </c>
      <c r="AM54">
        <v>0.1226762965121299</v>
      </c>
      <c r="AN54">
        <v>0.31688972895562623</v>
      </c>
      <c r="AO54">
        <v>1.843105632991591E-3</v>
      </c>
      <c r="AP54">
        <v>0.24535259302425971</v>
      </c>
      <c r="AQ54">
        <v>6.7117808760933845E-2</v>
      </c>
      <c r="AR54">
        <v>1.879967745651423E-3</v>
      </c>
      <c r="AS54">
        <v>0.38275361034083388</v>
      </c>
      <c r="AT54">
        <v>0.58857596501730913</v>
      </c>
      <c r="AU54">
        <v>3.3790269938179171E-3</v>
      </c>
      <c r="AV54">
        <v>0.3071832222500549</v>
      </c>
      <c r="AW54">
        <v>0.28721017202692589</v>
      </c>
      <c r="AY54">
        <f t="shared" si="1"/>
        <v>0.143992627577468</v>
      </c>
      <c r="AZ54">
        <f t="shared" si="2"/>
        <v>12.267629651212991</v>
      </c>
      <c r="BA54">
        <f t="shared" si="3"/>
        <v>31.688972895562621</v>
      </c>
      <c r="BB54">
        <f t="shared" si="4"/>
        <v>0.1843105632991591</v>
      </c>
      <c r="BC54">
        <f t="shared" si="5"/>
        <v>24.53525930242597</v>
      </c>
      <c r="BD54">
        <f t="shared" si="6"/>
        <v>6.7117808760933846</v>
      </c>
      <c r="BE54">
        <f t="shared" si="7"/>
        <v>0.1879967745651423</v>
      </c>
      <c r="BF54">
        <f t="shared" si="8"/>
        <v>38.275361034083389</v>
      </c>
      <c r="BG54">
        <f t="shared" si="9"/>
        <v>58.85759650173091</v>
      </c>
      <c r="BH54">
        <f t="shared" si="10"/>
        <v>0.33790269938179174</v>
      </c>
      <c r="BI54">
        <f t="shared" si="11"/>
        <v>30.71832222500549</v>
      </c>
      <c r="BJ54">
        <f t="shared" si="12"/>
        <v>28.72101720269259</v>
      </c>
    </row>
    <row r="55" spans="1:62" ht="15.6" thickBot="1">
      <c r="A55" s="6" t="s">
        <v>138</v>
      </c>
      <c r="B55" s="20" t="s">
        <v>75</v>
      </c>
      <c r="C55" s="37" t="s">
        <v>69</v>
      </c>
      <c r="D55" s="35">
        <v>46.017699115044245</v>
      </c>
      <c r="E55" s="10">
        <v>65.599999999999994</v>
      </c>
      <c r="F55" s="10">
        <v>10.619469026548673</v>
      </c>
      <c r="G55" s="10">
        <v>43.362831858407077</v>
      </c>
      <c r="H55" s="11">
        <v>43.490582142857143</v>
      </c>
      <c r="I55" s="12">
        <v>36.4</v>
      </c>
      <c r="J55" s="14">
        <v>12.4</v>
      </c>
      <c r="K55" s="14">
        <v>91</v>
      </c>
      <c r="L55" s="15">
        <v>56.999999999999993</v>
      </c>
      <c r="M55" s="13">
        <v>56</v>
      </c>
      <c r="N55" s="15">
        <v>72</v>
      </c>
      <c r="O55" s="16">
        <v>25</v>
      </c>
      <c r="P55" s="15">
        <v>73</v>
      </c>
      <c r="Q55" s="15">
        <v>67</v>
      </c>
      <c r="R55" s="22">
        <v>70</v>
      </c>
      <c r="S55" s="10">
        <v>70</v>
      </c>
      <c r="T55" s="42">
        <v>79.434303459269799</v>
      </c>
      <c r="U55" s="65">
        <v>0.26517099999999999</v>
      </c>
      <c r="V55" s="65">
        <v>0.145067</v>
      </c>
      <c r="W55" s="65">
        <v>0.390241</v>
      </c>
      <c r="X55" s="65">
        <v>0.225407</v>
      </c>
      <c r="Y55" s="65">
        <v>0.83898499999999998</v>
      </c>
      <c r="Z55" s="65">
        <v>0.46135399999999999</v>
      </c>
      <c r="AA55" s="65">
        <v>0.27416099999999999</v>
      </c>
      <c r="AB55" s="65">
        <v>0.32309100000000002</v>
      </c>
      <c r="AC55" s="65">
        <v>0.56968200000000002</v>
      </c>
      <c r="AD55" s="65">
        <v>0.134493</v>
      </c>
      <c r="AE55" s="65">
        <v>0.54244499999999995</v>
      </c>
      <c r="AF55" s="65">
        <v>0.103688</v>
      </c>
      <c r="AG55" s="65">
        <v>0.20307500000000001</v>
      </c>
      <c r="AH55" s="65">
        <v>1</v>
      </c>
      <c r="AI55" s="65">
        <v>0.38759300000000002</v>
      </c>
      <c r="AJ55" s="65">
        <v>0.65986299999999998</v>
      </c>
      <c r="AK55" s="65">
        <v>0.384349</v>
      </c>
      <c r="AL55">
        <v>7.1123755334281643E-3</v>
      </c>
      <c r="AM55">
        <v>9.7754573647652568E-2</v>
      </c>
      <c r="AN55">
        <v>0.1776972867632558</v>
      </c>
      <c r="AO55">
        <v>0</v>
      </c>
      <c r="AP55">
        <v>0</v>
      </c>
      <c r="AQ55">
        <v>1.7035592752518921E-2</v>
      </c>
      <c r="AR55">
        <v>3.9601706970128023E-3</v>
      </c>
      <c r="AS55">
        <v>0.19062319420478049</v>
      </c>
      <c r="AT55">
        <v>0.63999082450430811</v>
      </c>
      <c r="AU55">
        <v>4.1725936462778564E-3</v>
      </c>
      <c r="AV55">
        <v>0.12238943372323401</v>
      </c>
      <c r="AW55">
        <v>0.13464576692171401</v>
      </c>
      <c r="AY55">
        <f t="shared" si="1"/>
        <v>0.71123755334281646</v>
      </c>
      <c r="AZ55">
        <f t="shared" si="2"/>
        <v>9.7754573647652574</v>
      </c>
      <c r="BA55">
        <f t="shared" si="3"/>
        <v>17.769728676325581</v>
      </c>
      <c r="BB55">
        <f t="shared" si="4"/>
        <v>0</v>
      </c>
      <c r="BC55">
        <f t="shared" si="5"/>
        <v>0</v>
      </c>
      <c r="BD55">
        <f t="shared" si="6"/>
        <v>1.703559275251892</v>
      </c>
      <c r="BE55">
        <f t="shared" si="7"/>
        <v>0.39601706970128026</v>
      </c>
      <c r="BF55">
        <f t="shared" si="8"/>
        <v>19.062319420478051</v>
      </c>
      <c r="BG55">
        <f t="shared" si="9"/>
        <v>63.999082450430812</v>
      </c>
      <c r="BH55">
        <f t="shared" si="10"/>
        <v>0.41725936462778562</v>
      </c>
      <c r="BI55">
        <f t="shared" si="11"/>
        <v>12.238943372323401</v>
      </c>
      <c r="BJ55">
        <f t="shared" si="12"/>
        <v>13.4645766921714</v>
      </c>
    </row>
    <row r="56" spans="1:62" ht="15.6" thickBot="1">
      <c r="A56" s="7" t="s">
        <v>139</v>
      </c>
      <c r="B56" s="9" t="s">
        <v>72</v>
      </c>
      <c r="C56" s="38" t="s">
        <v>73</v>
      </c>
      <c r="D56" s="35">
        <v>17.20430107526882</v>
      </c>
      <c r="E56" s="10">
        <v>11.3</v>
      </c>
      <c r="F56" s="10">
        <v>16.129032258064516</v>
      </c>
      <c r="G56" s="10">
        <v>66.666666666666657</v>
      </c>
      <c r="H56" s="11">
        <v>0.49879896907216492</v>
      </c>
      <c r="I56" s="12">
        <v>46</v>
      </c>
      <c r="J56" s="14">
        <v>9</v>
      </c>
      <c r="K56" s="14">
        <v>92</v>
      </c>
      <c r="L56" s="15">
        <v>61</v>
      </c>
      <c r="M56" s="13">
        <v>55</v>
      </c>
      <c r="N56" s="15">
        <v>80</v>
      </c>
      <c r="O56" s="16">
        <v>42</v>
      </c>
      <c r="P56" s="15">
        <v>56.999999999999993</v>
      </c>
      <c r="Q56" s="15">
        <v>56.999999999999993</v>
      </c>
      <c r="R56" s="22">
        <v>32</v>
      </c>
      <c r="S56" s="10">
        <v>84</v>
      </c>
      <c r="T56" s="42">
        <v>85.1149539939466</v>
      </c>
      <c r="U56" s="65">
        <v>0.32054899999999997</v>
      </c>
      <c r="V56" s="65">
        <v>0.199105</v>
      </c>
      <c r="W56" s="65">
        <v>0.67015899999999995</v>
      </c>
      <c r="X56" s="65">
        <v>0.74270599999999998</v>
      </c>
      <c r="Y56" s="65">
        <v>0.97585500000000003</v>
      </c>
      <c r="Z56" s="65">
        <v>1</v>
      </c>
      <c r="AA56" s="65">
        <v>9.8249000000000003E-2</v>
      </c>
      <c r="AB56" s="65">
        <v>0.91118200000000005</v>
      </c>
      <c r="AC56" s="65">
        <v>0.76481900000000003</v>
      </c>
      <c r="AD56" s="65">
        <v>0.141818</v>
      </c>
      <c r="AE56" s="65">
        <v>0.54646399999999995</v>
      </c>
      <c r="AF56" s="65">
        <v>7.7616000000000004E-2</v>
      </c>
      <c r="AG56" s="65">
        <v>4.8651E-2</v>
      </c>
      <c r="AH56" s="65">
        <v>0.22057099999999999</v>
      </c>
      <c r="AI56" s="65">
        <v>0.98053100000000004</v>
      </c>
      <c r="AJ56" s="65">
        <v>0.49875700000000001</v>
      </c>
      <c r="AK56" s="65">
        <v>0.48818699999999998</v>
      </c>
      <c r="AL56">
        <v>1.678528266416007E-3</v>
      </c>
      <c r="AM56">
        <v>0.19967935685671709</v>
      </c>
      <c r="AN56">
        <v>0.55622325145101725</v>
      </c>
      <c r="AO56">
        <v>0</v>
      </c>
      <c r="AP56">
        <v>0</v>
      </c>
      <c r="AQ56">
        <v>0.41435050683027008</v>
      </c>
      <c r="AR56">
        <v>2.0196052101517392E-3</v>
      </c>
      <c r="AS56">
        <v>0.46725404736126341</v>
      </c>
      <c r="AT56">
        <v>0.65538729077603053</v>
      </c>
      <c r="AU56">
        <v>7.8778926637124574E-3</v>
      </c>
      <c r="AV56">
        <v>1</v>
      </c>
      <c r="AW56">
        <v>0.23028563342699479</v>
      </c>
      <c r="AY56">
        <f t="shared" si="1"/>
        <v>0.1678528266416007</v>
      </c>
      <c r="AZ56">
        <f t="shared" si="2"/>
        <v>19.967935685671709</v>
      </c>
      <c r="BA56">
        <f t="shared" si="3"/>
        <v>55.622325145101726</v>
      </c>
      <c r="BB56">
        <f t="shared" si="4"/>
        <v>0</v>
      </c>
      <c r="BC56">
        <f t="shared" si="5"/>
        <v>0</v>
      </c>
      <c r="BD56">
        <f t="shared" si="6"/>
        <v>41.435050683027008</v>
      </c>
      <c r="BE56">
        <f t="shared" si="7"/>
        <v>0.20196052101517392</v>
      </c>
      <c r="BF56">
        <f t="shared" si="8"/>
        <v>46.725404736126343</v>
      </c>
      <c r="BG56">
        <f t="shared" si="9"/>
        <v>65.538729077603051</v>
      </c>
      <c r="BH56">
        <f t="shared" si="10"/>
        <v>0.7877892663712458</v>
      </c>
      <c r="BI56">
        <f t="shared" si="11"/>
        <v>100</v>
      </c>
      <c r="BJ56">
        <f t="shared" si="12"/>
        <v>23.028563342699478</v>
      </c>
    </row>
    <row r="57" spans="1:62" ht="15.6" thickBot="1">
      <c r="A57" s="6" t="s">
        <v>140</v>
      </c>
      <c r="B57" s="17" t="s">
        <v>141</v>
      </c>
      <c r="C57" s="37" t="s">
        <v>51</v>
      </c>
      <c r="D57" s="35">
        <v>30.256410256410255</v>
      </c>
      <c r="E57" s="10">
        <v>23.8</v>
      </c>
      <c r="F57" s="10">
        <v>6.666666666666667</v>
      </c>
      <c r="G57" s="10">
        <v>63.076923076923073</v>
      </c>
      <c r="H57" s="11">
        <v>4.2731512195121946</v>
      </c>
      <c r="I57" s="12">
        <v>31.7</v>
      </c>
      <c r="J57" s="14">
        <v>10.7</v>
      </c>
      <c r="K57" s="14">
        <v>94</v>
      </c>
      <c r="L57" s="15">
        <v>61</v>
      </c>
      <c r="M57" s="13">
        <v>58</v>
      </c>
      <c r="N57" s="15">
        <v>81</v>
      </c>
      <c r="O57" s="16">
        <v>30</v>
      </c>
      <c r="P57" s="15">
        <v>48</v>
      </c>
      <c r="Q57" s="15">
        <v>47</v>
      </c>
      <c r="R57" s="22">
        <v>54</v>
      </c>
      <c r="S57" s="10">
        <v>82</v>
      </c>
      <c r="T57" s="42">
        <v>63.937991754450302</v>
      </c>
      <c r="U57" s="65">
        <v>0.403308</v>
      </c>
      <c r="V57" s="65">
        <v>0.28409699999999999</v>
      </c>
      <c r="W57" s="65">
        <v>0.28248699999999999</v>
      </c>
      <c r="X57" s="65">
        <v>0.661416</v>
      </c>
      <c r="Y57" s="65">
        <v>0.87847399999999998</v>
      </c>
      <c r="Z57" s="65">
        <v>0.73158299999999998</v>
      </c>
      <c r="AA57" s="65">
        <v>0.65790899999999997</v>
      </c>
      <c r="AB57" s="65">
        <v>0.57641200000000004</v>
      </c>
      <c r="AC57" s="65">
        <v>0.56623599999999996</v>
      </c>
      <c r="AD57" s="65">
        <v>0.197273</v>
      </c>
      <c r="AE57" s="65">
        <v>0.306925</v>
      </c>
      <c r="AF57" s="65">
        <v>8.9519000000000001E-2</v>
      </c>
      <c r="AG57" s="65">
        <v>2.1644E-2</v>
      </c>
      <c r="AH57" s="65">
        <v>0.47854400000000002</v>
      </c>
      <c r="AI57" s="65">
        <v>0.90838799999999997</v>
      </c>
      <c r="AJ57" s="65">
        <v>0.32127</v>
      </c>
      <c r="AK57" s="65">
        <v>0.54996100000000003</v>
      </c>
      <c r="AL57">
        <v>1.192065611291245E-3</v>
      </c>
      <c r="AM57">
        <v>0.1403871630427562</v>
      </c>
      <c r="AN57">
        <v>0.38433181408272188</v>
      </c>
      <c r="AO57">
        <v>0</v>
      </c>
      <c r="AP57">
        <v>0</v>
      </c>
      <c r="AQ57">
        <v>2.7432199436490789E-2</v>
      </c>
      <c r="AR57">
        <v>1.831012778943353E-4</v>
      </c>
      <c r="AS57">
        <v>0.32850902147267619</v>
      </c>
      <c r="AT57">
        <v>0.12335451998674581</v>
      </c>
      <c r="AU57">
        <v>2.7973806344967888E-3</v>
      </c>
      <c r="AV57">
        <v>0.35153148841393039</v>
      </c>
      <c r="AW57">
        <v>0.28613447849873519</v>
      </c>
      <c r="AY57">
        <f t="shared" si="1"/>
        <v>0.11920656112912451</v>
      </c>
      <c r="AZ57">
        <f t="shared" si="2"/>
        <v>14.038716304275619</v>
      </c>
      <c r="BA57">
        <f t="shared" si="3"/>
        <v>38.433181408272191</v>
      </c>
      <c r="BB57">
        <f t="shared" si="4"/>
        <v>0</v>
      </c>
      <c r="BC57">
        <f t="shared" si="5"/>
        <v>0</v>
      </c>
      <c r="BD57">
        <f t="shared" si="6"/>
        <v>2.7432199436490787</v>
      </c>
      <c r="BE57">
        <f t="shared" si="7"/>
        <v>1.8310127789433531E-2</v>
      </c>
      <c r="BF57">
        <f t="shared" si="8"/>
        <v>32.850902147267618</v>
      </c>
      <c r="BG57">
        <f t="shared" si="9"/>
        <v>12.33545199867458</v>
      </c>
      <c r="BH57">
        <f t="shared" si="10"/>
        <v>0.27973806344967889</v>
      </c>
      <c r="BI57">
        <f t="shared" si="11"/>
        <v>35.15314884139304</v>
      </c>
      <c r="BJ57">
        <f t="shared" si="12"/>
        <v>28.61344784987352</v>
      </c>
    </row>
    <row r="58" spans="1:62" ht="15.6" thickBot="1">
      <c r="A58" s="7" t="s">
        <v>142</v>
      </c>
      <c r="B58" s="9" t="s">
        <v>72</v>
      </c>
      <c r="C58" s="38" t="s">
        <v>73</v>
      </c>
      <c r="D58" s="35">
        <v>17.20430107526882</v>
      </c>
      <c r="E58" s="10">
        <v>11.3</v>
      </c>
      <c r="F58" s="10">
        <v>16.129032258064516</v>
      </c>
      <c r="G58" s="10">
        <v>66.666666666666657</v>
      </c>
      <c r="H58" s="11">
        <v>0.39581467391304348</v>
      </c>
      <c r="I58" s="12">
        <v>30.5</v>
      </c>
      <c r="J58" s="14">
        <v>6.9</v>
      </c>
      <c r="K58" s="14">
        <v>92</v>
      </c>
      <c r="L58" s="15">
        <v>61</v>
      </c>
      <c r="M58" s="13">
        <v>55</v>
      </c>
      <c r="N58" s="15">
        <v>80</v>
      </c>
      <c r="O58" s="16">
        <v>42</v>
      </c>
      <c r="P58" s="15">
        <v>56.999999999999993</v>
      </c>
      <c r="Q58" s="15">
        <v>56.999999999999993</v>
      </c>
      <c r="R58" s="22">
        <v>32</v>
      </c>
      <c r="S58" s="10">
        <v>84</v>
      </c>
      <c r="T58" s="42">
        <v>71.020194872968602</v>
      </c>
      <c r="U58" s="65">
        <v>0.39715099999999998</v>
      </c>
      <c r="V58" s="65">
        <v>0.30856600000000001</v>
      </c>
      <c r="W58" s="65">
        <v>0.42054399999999997</v>
      </c>
      <c r="X58" s="65">
        <v>0.69320599999999999</v>
      </c>
      <c r="Y58" s="65">
        <v>0.94818000000000002</v>
      </c>
      <c r="Z58" s="65">
        <v>1</v>
      </c>
      <c r="AA58" s="65">
        <v>3.9777E-2</v>
      </c>
      <c r="AB58" s="65">
        <v>0.53702399999999995</v>
      </c>
      <c r="AC58" s="65">
        <v>0.496975</v>
      </c>
      <c r="AD58" s="65">
        <v>0.110954</v>
      </c>
      <c r="AE58" s="65">
        <v>6.9570000000000007E-2</v>
      </c>
      <c r="AF58" s="65">
        <v>3.5070000000000001E-3</v>
      </c>
      <c r="AG58" s="65">
        <v>0</v>
      </c>
      <c r="AH58" s="65">
        <v>0.32526300000000002</v>
      </c>
      <c r="AI58" s="65">
        <v>0.97478100000000001</v>
      </c>
      <c r="AJ58" s="65">
        <v>0.42336200000000002</v>
      </c>
      <c r="AK58" s="65">
        <v>0.51495500000000005</v>
      </c>
      <c r="AL58">
        <v>3.4616449736914979E-3</v>
      </c>
      <c r="AM58">
        <v>1</v>
      </c>
      <c r="AN58">
        <v>0.93079904697556948</v>
      </c>
      <c r="AO58">
        <v>5.1693898273793039E-3</v>
      </c>
      <c r="AP58">
        <v>1</v>
      </c>
      <c r="AQ58">
        <v>0.72835170919011627</v>
      </c>
      <c r="AR58">
        <v>7.3848426105418627E-4</v>
      </c>
      <c r="AS58">
        <v>0.26000242183636252</v>
      </c>
      <c r="AT58">
        <v>0.56366193468993087</v>
      </c>
      <c r="AU58">
        <v>0</v>
      </c>
      <c r="AV58">
        <v>0</v>
      </c>
      <c r="AW58">
        <v>0.16636217614674401</v>
      </c>
      <c r="AY58">
        <f t="shared" si="1"/>
        <v>0.34616449736914978</v>
      </c>
      <c r="AZ58">
        <f t="shared" si="2"/>
        <v>100</v>
      </c>
      <c r="BA58">
        <f t="shared" si="3"/>
        <v>93.079904697556941</v>
      </c>
      <c r="BB58">
        <f t="shared" si="4"/>
        <v>0.51693898273793037</v>
      </c>
      <c r="BC58">
        <f t="shared" si="5"/>
        <v>100</v>
      </c>
      <c r="BD58">
        <f t="shared" si="6"/>
        <v>72.835170919011631</v>
      </c>
      <c r="BE58">
        <f t="shared" si="7"/>
        <v>7.3848426105418627E-2</v>
      </c>
      <c r="BF58">
        <f t="shared" si="8"/>
        <v>26.000242183636253</v>
      </c>
      <c r="BG58">
        <f t="shared" si="9"/>
        <v>56.366193468993089</v>
      </c>
      <c r="BH58">
        <f t="shared" si="10"/>
        <v>0</v>
      </c>
      <c r="BI58">
        <f t="shared" si="11"/>
        <v>0</v>
      </c>
      <c r="BJ58">
        <f t="shared" si="12"/>
        <v>16.636217614674401</v>
      </c>
    </row>
    <row r="59" spans="1:62" ht="15.6" thickBot="1">
      <c r="A59" s="6" t="s">
        <v>143</v>
      </c>
      <c r="B59" s="17" t="s">
        <v>50</v>
      </c>
      <c r="C59" s="37" t="s">
        <v>51</v>
      </c>
      <c r="D59" s="35">
        <v>30.256410256410255</v>
      </c>
      <c r="E59" s="10">
        <v>23.8</v>
      </c>
      <c r="F59" s="10">
        <v>6.666666666666667</v>
      </c>
      <c r="G59" s="10">
        <v>63.076923076923073</v>
      </c>
      <c r="H59" s="11">
        <v>60.555769999999995</v>
      </c>
      <c r="I59" s="12">
        <v>35.700000000000003</v>
      </c>
      <c r="J59" s="14">
        <v>9.1</v>
      </c>
      <c r="K59" s="14">
        <v>96</v>
      </c>
      <c r="L59" s="15">
        <v>61</v>
      </c>
      <c r="M59" s="13">
        <v>56</v>
      </c>
      <c r="N59" s="15">
        <v>77</v>
      </c>
      <c r="O59" s="16">
        <v>21</v>
      </c>
      <c r="P59" s="15">
        <v>55.000000000000007</v>
      </c>
      <c r="Q59" s="15">
        <v>55.000000000000007</v>
      </c>
      <c r="R59" s="22">
        <v>54</v>
      </c>
      <c r="S59" s="10">
        <v>81</v>
      </c>
      <c r="T59" s="42">
        <v>80.737996762794253</v>
      </c>
      <c r="U59" s="65">
        <v>0.45303599999999999</v>
      </c>
      <c r="V59" s="65">
        <v>0.32008300000000001</v>
      </c>
      <c r="W59" s="65">
        <v>0.38433499999999998</v>
      </c>
      <c r="X59" s="65">
        <v>0.66650799999999999</v>
      </c>
      <c r="Y59" s="65">
        <v>0.91375399999999996</v>
      </c>
      <c r="Z59" s="65">
        <v>0.78467900000000002</v>
      </c>
      <c r="AA59" s="65">
        <v>0.58121900000000004</v>
      </c>
      <c r="AB59" s="65">
        <v>0.62541199999999997</v>
      </c>
      <c r="AC59" s="65">
        <v>0.60886700000000005</v>
      </c>
      <c r="AD59" s="65">
        <v>0.17148099999999999</v>
      </c>
      <c r="AE59" s="65">
        <v>0.68472500000000003</v>
      </c>
      <c r="AF59" s="65">
        <v>0.16222300000000001</v>
      </c>
      <c r="AG59" s="65">
        <v>2.6925000000000001E-2</v>
      </c>
      <c r="AH59" s="65">
        <v>0.40292899999999998</v>
      </c>
      <c r="AI59" s="65">
        <v>0.93119799999999997</v>
      </c>
      <c r="AJ59" s="65">
        <v>0.57075200000000004</v>
      </c>
      <c r="AK59" s="65">
        <v>0.52321300000000004</v>
      </c>
      <c r="AL59">
        <v>3.4019776830263989E-3</v>
      </c>
      <c r="AM59">
        <v>0.12906465572868611</v>
      </c>
      <c r="AN59">
        <v>0.38036536237689611</v>
      </c>
      <c r="AO59">
        <v>7.2575523904563194E-4</v>
      </c>
      <c r="AP59">
        <v>6.4532327864343056E-2</v>
      </c>
      <c r="AQ59">
        <v>2.1744780570295531E-2</v>
      </c>
      <c r="AR59">
        <v>1.219268801596662E-3</v>
      </c>
      <c r="AS59">
        <v>0.15100705378320639</v>
      </c>
      <c r="AT59">
        <v>0.24254794443769789</v>
      </c>
      <c r="AU59">
        <v>2.6611025431673169E-3</v>
      </c>
      <c r="AV59">
        <v>0.1615898831010589</v>
      </c>
      <c r="AW59">
        <v>0.2201611074770862</v>
      </c>
      <c r="AY59">
        <f t="shared" si="1"/>
        <v>0.34019776830263987</v>
      </c>
      <c r="AZ59">
        <f t="shared" si="2"/>
        <v>12.906465572868612</v>
      </c>
      <c r="BA59">
        <f t="shared" si="3"/>
        <v>38.03653623768961</v>
      </c>
      <c r="BB59">
        <f t="shared" si="4"/>
        <v>7.2575523904563191E-2</v>
      </c>
      <c r="BC59">
        <f t="shared" si="5"/>
        <v>6.453232786434306</v>
      </c>
      <c r="BD59">
        <f t="shared" si="6"/>
        <v>2.1744780570295532</v>
      </c>
      <c r="BE59">
        <f t="shared" si="7"/>
        <v>0.1219268801596662</v>
      </c>
      <c r="BF59">
        <f t="shared" si="8"/>
        <v>15.100705378320638</v>
      </c>
      <c r="BG59">
        <f t="shared" si="9"/>
        <v>24.254794443769789</v>
      </c>
      <c r="BH59">
        <f t="shared" si="10"/>
        <v>0.26611025431673169</v>
      </c>
      <c r="BI59">
        <f t="shared" si="11"/>
        <v>16.15898831010589</v>
      </c>
      <c r="BJ59">
        <f t="shared" si="12"/>
        <v>22.01611074770862</v>
      </c>
    </row>
    <row r="60" spans="1:62" ht="15.6" thickBot="1">
      <c r="A60" s="7" t="s">
        <v>144</v>
      </c>
      <c r="B60" s="9" t="s">
        <v>97</v>
      </c>
      <c r="C60" s="38" t="s">
        <v>98</v>
      </c>
      <c r="D60" s="35">
        <v>29.411764705882355</v>
      </c>
      <c r="E60" s="10">
        <v>50.2</v>
      </c>
      <c r="F60" s="10">
        <v>19.485294117647058</v>
      </c>
      <c r="G60" s="10">
        <v>51.102941176470587</v>
      </c>
      <c r="H60" s="11">
        <v>42.596000000000004</v>
      </c>
      <c r="I60" s="12">
        <v>53</v>
      </c>
      <c r="J60" s="14">
        <v>7.1</v>
      </c>
      <c r="K60" s="14">
        <v>96</v>
      </c>
      <c r="L60" s="15">
        <v>25</v>
      </c>
      <c r="M60" s="13">
        <v>75</v>
      </c>
      <c r="N60" s="15">
        <v>80</v>
      </c>
      <c r="O60" s="16">
        <v>28.999999999999996</v>
      </c>
      <c r="P60" s="15">
        <v>82</v>
      </c>
      <c r="Q60" s="15">
        <v>76</v>
      </c>
      <c r="R60" s="22">
        <v>60</v>
      </c>
      <c r="S60" s="10">
        <v>100</v>
      </c>
      <c r="T60" s="42">
        <v>85.816662652243295</v>
      </c>
      <c r="U60" s="65">
        <v>0.37262299999999998</v>
      </c>
      <c r="V60" s="65">
        <v>0.24421999999999999</v>
      </c>
      <c r="W60" s="65">
        <v>0.37329699999999999</v>
      </c>
      <c r="X60" s="65">
        <v>0.67446600000000001</v>
      </c>
      <c r="Y60" s="65">
        <v>0.91994299999999996</v>
      </c>
      <c r="Z60" s="65">
        <v>0.90291600000000005</v>
      </c>
      <c r="AA60" s="65">
        <v>0.25123699999999999</v>
      </c>
      <c r="AB60" s="65">
        <v>0.561222</v>
      </c>
      <c r="AC60" s="65">
        <v>0.53821300000000005</v>
      </c>
      <c r="AD60" s="65">
        <v>0.14685100000000001</v>
      </c>
      <c r="AE60" s="65">
        <v>0.54695499999999997</v>
      </c>
      <c r="AF60" s="65">
        <v>0.12378599999999999</v>
      </c>
      <c r="AG60" s="65">
        <v>6.0387000000000003E-2</v>
      </c>
      <c r="AH60" s="65">
        <v>0.33919500000000002</v>
      </c>
      <c r="AI60" s="65">
        <v>0.94503700000000002</v>
      </c>
      <c r="AJ60" s="65">
        <v>0.54121399999999997</v>
      </c>
      <c r="AK60" s="65">
        <v>0.25024400000000002</v>
      </c>
      <c r="AL60">
        <v>4.014559469007601E-3</v>
      </c>
      <c r="AM60">
        <v>0.19956172214252921</v>
      </c>
      <c r="AN60">
        <v>0.20667280431821611</v>
      </c>
      <c r="AO60">
        <v>1.712878706776576E-3</v>
      </c>
      <c r="AP60">
        <v>0.13304114809501949</v>
      </c>
      <c r="AQ60">
        <v>3.5321956087420323E-2</v>
      </c>
      <c r="AR60">
        <v>1.9184241515897661E-3</v>
      </c>
      <c r="AS60">
        <v>0.15565959318867861</v>
      </c>
      <c r="AT60">
        <v>0.52980235675540854</v>
      </c>
      <c r="AU60">
        <v>0</v>
      </c>
      <c r="AV60">
        <v>0</v>
      </c>
      <c r="AW60">
        <v>3.5622967073107102E-2</v>
      </c>
      <c r="AY60">
        <f t="shared" si="1"/>
        <v>0.40145594690076009</v>
      </c>
      <c r="AZ60">
        <f t="shared" si="2"/>
        <v>19.95617221425292</v>
      </c>
      <c r="BA60">
        <f t="shared" si="3"/>
        <v>20.667280431821609</v>
      </c>
      <c r="BB60">
        <f t="shared" si="4"/>
        <v>0.17128787067765761</v>
      </c>
      <c r="BC60">
        <f t="shared" si="5"/>
        <v>13.304114809501948</v>
      </c>
      <c r="BD60">
        <f t="shared" si="6"/>
        <v>3.5321956087420321</v>
      </c>
      <c r="BE60">
        <f t="shared" si="7"/>
        <v>0.1918424151589766</v>
      </c>
      <c r="BF60">
        <f t="shared" si="8"/>
        <v>15.565959318867861</v>
      </c>
      <c r="BG60">
        <f t="shared" si="9"/>
        <v>52.980235675540854</v>
      </c>
      <c r="BH60">
        <f t="shared" si="10"/>
        <v>0</v>
      </c>
      <c r="BI60">
        <f t="shared" si="11"/>
        <v>0</v>
      </c>
      <c r="BJ60">
        <f t="shared" si="12"/>
        <v>3.5622967073107104</v>
      </c>
    </row>
    <row r="61" spans="1:62" ht="15.6" thickBot="1">
      <c r="A61" s="6" t="s">
        <v>145</v>
      </c>
      <c r="B61" s="20" t="s">
        <v>68</v>
      </c>
      <c r="C61" s="37" t="s">
        <v>69</v>
      </c>
      <c r="D61" s="35">
        <v>46.017699115044245</v>
      </c>
      <c r="E61" s="10">
        <v>65.599999999999994</v>
      </c>
      <c r="F61" s="10">
        <v>10.619469026548673</v>
      </c>
      <c r="G61" s="10">
        <v>43.362831858407077</v>
      </c>
      <c r="H61" s="11">
        <v>33.168162500000001</v>
      </c>
      <c r="I61" s="12">
        <v>44.8</v>
      </c>
      <c r="J61" s="14">
        <v>8.1</v>
      </c>
      <c r="K61" s="14">
        <v>97</v>
      </c>
      <c r="L61" s="15">
        <v>33</v>
      </c>
      <c r="M61" s="13">
        <v>70</v>
      </c>
      <c r="N61" s="15">
        <v>80</v>
      </c>
      <c r="O61" s="16">
        <v>37</v>
      </c>
      <c r="P61" s="15">
        <v>72</v>
      </c>
      <c r="Q61" s="15">
        <v>62</v>
      </c>
      <c r="R61" s="22">
        <v>70</v>
      </c>
      <c r="S61" s="10">
        <v>71</v>
      </c>
      <c r="T61" s="42">
        <v>72.991549461790498</v>
      </c>
      <c r="U61" s="65">
        <v>0.302705</v>
      </c>
      <c r="V61" s="65">
        <v>0.21418499999999999</v>
      </c>
      <c r="W61" s="65">
        <v>0.41597800000000001</v>
      </c>
      <c r="X61" s="65">
        <v>0.70103199999999999</v>
      </c>
      <c r="Y61" s="65">
        <v>0.92840400000000001</v>
      </c>
      <c r="Z61" s="65">
        <v>0.77246400000000004</v>
      </c>
      <c r="AA61" s="65">
        <v>0.56972999999999996</v>
      </c>
      <c r="AB61" s="65">
        <v>0.62699899999999997</v>
      </c>
      <c r="AC61" s="65">
        <v>0.57189299999999998</v>
      </c>
      <c r="AD61" s="65">
        <v>0.15412200000000001</v>
      </c>
      <c r="AE61" s="65">
        <v>0.45122400000000001</v>
      </c>
      <c r="AF61" s="65">
        <v>9.9167000000000005E-2</v>
      </c>
      <c r="AG61" s="65">
        <v>3.1642999999999998E-2</v>
      </c>
      <c r="AH61" s="65">
        <v>0.38623400000000002</v>
      </c>
      <c r="AI61" s="65">
        <v>0.91079299999999996</v>
      </c>
      <c r="AJ61" s="65">
        <v>0.54555699999999996</v>
      </c>
      <c r="AK61" s="65">
        <v>0.46310099999999998</v>
      </c>
      <c r="AL61">
        <v>1.0265254167693191E-3</v>
      </c>
      <c r="AM61">
        <v>0.11727558767107681</v>
      </c>
      <c r="AN61">
        <v>0.35632061536004672</v>
      </c>
      <c r="AO61">
        <v>6.5697626673236437E-4</v>
      </c>
      <c r="AP61">
        <v>0.11727558767107681</v>
      </c>
      <c r="AQ61">
        <v>7.2488648784887338E-2</v>
      </c>
      <c r="AR61">
        <v>1.1825572801182559E-3</v>
      </c>
      <c r="AS61">
        <v>0.27442743135086378</v>
      </c>
      <c r="AT61">
        <v>0.63134262076678893</v>
      </c>
      <c r="AU61">
        <v>2.4089129780186691E-3</v>
      </c>
      <c r="AV61">
        <v>0.29365976913484793</v>
      </c>
      <c r="AW61">
        <v>0.26430383928858209</v>
      </c>
      <c r="AY61">
        <f t="shared" si="1"/>
        <v>0.10265254167693191</v>
      </c>
      <c r="AZ61">
        <f t="shared" si="2"/>
        <v>11.727558767107681</v>
      </c>
      <c r="BA61">
        <f t="shared" si="3"/>
        <v>35.63206153600467</v>
      </c>
      <c r="BB61">
        <f t="shared" si="4"/>
        <v>6.5697626673236434E-2</v>
      </c>
      <c r="BC61">
        <f t="shared" si="5"/>
        <v>11.727558767107681</v>
      </c>
      <c r="BD61">
        <f t="shared" si="6"/>
        <v>7.2488648784887335</v>
      </c>
      <c r="BE61">
        <f t="shared" si="7"/>
        <v>0.1182557280118256</v>
      </c>
      <c r="BF61">
        <f t="shared" si="8"/>
        <v>27.442743135086378</v>
      </c>
      <c r="BG61">
        <f t="shared" si="9"/>
        <v>63.134262076678894</v>
      </c>
      <c r="BH61">
        <f t="shared" si="10"/>
        <v>0.24089129780186691</v>
      </c>
      <c r="BI61">
        <f t="shared" si="11"/>
        <v>29.365976913484793</v>
      </c>
      <c r="BJ61">
        <f t="shared" si="12"/>
        <v>26.430383928858209</v>
      </c>
    </row>
    <row r="62" spans="1:62" ht="15.6" thickBot="1">
      <c r="A62" s="7" t="s">
        <v>146</v>
      </c>
      <c r="B62" s="19" t="s">
        <v>68</v>
      </c>
      <c r="C62" s="38" t="s">
        <v>69</v>
      </c>
      <c r="D62" s="35">
        <v>46.017699115044245</v>
      </c>
      <c r="E62" s="10">
        <v>65.599999999999994</v>
      </c>
      <c r="F62" s="10">
        <v>10.619469026548673</v>
      </c>
      <c r="G62" s="10">
        <v>43.362831858407077</v>
      </c>
      <c r="H62" s="11">
        <v>2.033956050955414</v>
      </c>
      <c r="I62" s="12">
        <v>44.6</v>
      </c>
      <c r="J62" s="14">
        <v>8.9</v>
      </c>
      <c r="K62" s="14">
        <v>97</v>
      </c>
      <c r="L62" s="15">
        <v>33</v>
      </c>
      <c r="M62" s="13">
        <v>70</v>
      </c>
      <c r="N62" s="15">
        <v>80</v>
      </c>
      <c r="O62" s="16">
        <v>37</v>
      </c>
      <c r="P62" s="15">
        <v>72</v>
      </c>
      <c r="Q62" s="15">
        <v>62</v>
      </c>
      <c r="R62" s="22">
        <v>70</v>
      </c>
      <c r="S62" s="10">
        <v>71</v>
      </c>
      <c r="T62" s="42">
        <v>63.309820251580398</v>
      </c>
      <c r="U62" s="65">
        <v>0.29920999999999998</v>
      </c>
      <c r="V62" s="65">
        <v>0.218081</v>
      </c>
      <c r="W62" s="65">
        <v>0.624135</v>
      </c>
      <c r="X62" s="65">
        <v>0.60886799999999996</v>
      </c>
      <c r="Y62" s="65">
        <v>0.92804399999999998</v>
      </c>
      <c r="Z62" s="65">
        <v>0.83750400000000003</v>
      </c>
      <c r="AA62" s="65">
        <v>0.49390800000000001</v>
      </c>
      <c r="AB62" s="65">
        <v>0.42322300000000002</v>
      </c>
      <c r="AC62" s="65">
        <v>0.45501399999999997</v>
      </c>
      <c r="AD62" s="65">
        <v>0.103348</v>
      </c>
      <c r="AE62" s="65">
        <v>0.61330700000000005</v>
      </c>
      <c r="AF62" s="65">
        <v>0.114047</v>
      </c>
      <c r="AG62" s="65">
        <v>5.2512999999999997E-2</v>
      </c>
      <c r="AH62" s="65">
        <v>0.42270200000000002</v>
      </c>
      <c r="AI62" s="65">
        <v>0.94037099999999996</v>
      </c>
      <c r="AJ62" s="65">
        <v>0.65565700000000005</v>
      </c>
      <c r="AK62" s="65">
        <v>0.38047799999999998</v>
      </c>
      <c r="AL62">
        <v>0</v>
      </c>
      <c r="AM62">
        <v>0</v>
      </c>
      <c r="AN62">
        <v>0.21087991282088181</v>
      </c>
      <c r="AO62">
        <v>0</v>
      </c>
      <c r="AP62">
        <v>0</v>
      </c>
      <c r="AQ62">
        <v>2.49981540142044E-2</v>
      </c>
      <c r="AR62">
        <v>8.9964857477547848E-4</v>
      </c>
      <c r="AS62">
        <v>0.34608782495913681</v>
      </c>
      <c r="AT62">
        <v>0.46484886217806182</v>
      </c>
      <c r="AU62">
        <v>2.2907718339190419E-3</v>
      </c>
      <c r="AV62">
        <v>0.370342244132082</v>
      </c>
      <c r="AW62">
        <v>0.18239887702183921</v>
      </c>
      <c r="AY62">
        <f t="shared" si="1"/>
        <v>0</v>
      </c>
      <c r="AZ62">
        <f t="shared" si="2"/>
        <v>0</v>
      </c>
      <c r="BA62">
        <f t="shared" si="3"/>
        <v>21.087991282088183</v>
      </c>
      <c r="BB62">
        <f t="shared" si="4"/>
        <v>0</v>
      </c>
      <c r="BC62">
        <f t="shared" si="5"/>
        <v>0</v>
      </c>
      <c r="BD62">
        <f t="shared" si="6"/>
        <v>2.4998154014204399</v>
      </c>
      <c r="BE62">
        <f t="shared" si="7"/>
        <v>8.9964857477547844E-2</v>
      </c>
      <c r="BF62">
        <f t="shared" si="8"/>
        <v>34.60878249591368</v>
      </c>
      <c r="BG62">
        <f t="shared" si="9"/>
        <v>46.484886217806185</v>
      </c>
      <c r="BH62">
        <f t="shared" si="10"/>
        <v>0.22907718339190419</v>
      </c>
      <c r="BI62">
        <f t="shared" si="11"/>
        <v>37.0342244132082</v>
      </c>
      <c r="BJ62">
        <f t="shared" si="12"/>
        <v>18.239887702183921</v>
      </c>
    </row>
    <row r="63" spans="1:62" ht="15.6" thickBot="1">
      <c r="A63" s="6" t="s">
        <v>147</v>
      </c>
      <c r="B63" s="17" t="s">
        <v>78</v>
      </c>
      <c r="C63" s="37" t="s">
        <v>54</v>
      </c>
      <c r="D63" s="35">
        <v>35.483870967741936</v>
      </c>
      <c r="E63" s="10">
        <v>49.5</v>
      </c>
      <c r="F63" s="10">
        <v>17.419354838709676</v>
      </c>
      <c r="G63" s="10">
        <v>47.096774193548384</v>
      </c>
      <c r="H63" s="11">
        <v>35.22658333333333</v>
      </c>
      <c r="I63" s="12">
        <v>42</v>
      </c>
      <c r="J63" s="14">
        <v>5.6</v>
      </c>
      <c r="K63" s="14">
        <v>98</v>
      </c>
      <c r="L63" s="15">
        <v>28.999999999999996</v>
      </c>
      <c r="M63" s="13">
        <v>71</v>
      </c>
      <c r="N63" s="15">
        <v>82</v>
      </c>
      <c r="O63" s="16">
        <v>37</v>
      </c>
      <c r="P63" s="15">
        <v>73</v>
      </c>
      <c r="Q63" s="15">
        <v>85</v>
      </c>
      <c r="R63" s="22">
        <v>62</v>
      </c>
      <c r="S63" s="10">
        <v>81</v>
      </c>
      <c r="T63" s="42">
        <v>71.571834628124009</v>
      </c>
      <c r="U63" s="65">
        <v>0.53775399999999995</v>
      </c>
      <c r="V63" s="65">
        <v>0.26882499999999998</v>
      </c>
      <c r="W63" s="65">
        <v>0.35425499999999999</v>
      </c>
      <c r="X63" s="65">
        <v>0.58930800000000005</v>
      </c>
      <c r="Y63" s="65">
        <v>0.90000199999999997</v>
      </c>
      <c r="Z63" s="65">
        <v>0.91985600000000001</v>
      </c>
      <c r="AA63" s="65">
        <v>0.76833399999999996</v>
      </c>
      <c r="AB63" s="65">
        <v>0.68853500000000001</v>
      </c>
      <c r="AC63" s="65">
        <v>0.76503399999999999</v>
      </c>
      <c r="AD63" s="65">
        <v>0.20740900000000001</v>
      </c>
      <c r="AE63" s="65">
        <v>0.43184299999999998</v>
      </c>
      <c r="AF63" s="65">
        <v>9.4802999999999998E-2</v>
      </c>
      <c r="AG63" s="65">
        <v>0.17555000000000001</v>
      </c>
      <c r="AH63" s="65">
        <v>0.38213900000000001</v>
      </c>
      <c r="AI63" s="65">
        <v>0.96085399999999999</v>
      </c>
      <c r="AJ63" s="65">
        <v>0.54280600000000001</v>
      </c>
      <c r="AK63" s="65">
        <v>0.56324399999999997</v>
      </c>
      <c r="AL63">
        <v>2.8839498577251411E-3</v>
      </c>
      <c r="AM63">
        <v>8.2983513698043271E-2</v>
      </c>
      <c r="AN63">
        <v>0.16743492407809099</v>
      </c>
      <c r="AO63">
        <v>4.3066984542028761E-3</v>
      </c>
      <c r="AP63">
        <v>0.1659670273960866</v>
      </c>
      <c r="AQ63">
        <v>0.1156903704993182</v>
      </c>
      <c r="AR63">
        <v>8.8594939629316324E-4</v>
      </c>
      <c r="AS63">
        <v>0.25891097440778671</v>
      </c>
      <c r="AT63">
        <v>0.44302949061662189</v>
      </c>
      <c r="AU63">
        <v>0</v>
      </c>
      <c r="AV63">
        <v>0</v>
      </c>
      <c r="AW63">
        <v>6.4888224050527715E-2</v>
      </c>
      <c r="AY63">
        <f t="shared" si="1"/>
        <v>0.2883949857725141</v>
      </c>
      <c r="AZ63">
        <f t="shared" si="2"/>
        <v>8.2983513698043279</v>
      </c>
      <c r="BA63">
        <f t="shared" si="3"/>
        <v>16.7434924078091</v>
      </c>
      <c r="BB63">
        <f t="shared" si="4"/>
        <v>0.43066984542028763</v>
      </c>
      <c r="BC63">
        <f t="shared" si="5"/>
        <v>16.596702739608659</v>
      </c>
      <c r="BD63">
        <f t="shared" si="6"/>
        <v>11.56903704993182</v>
      </c>
      <c r="BE63">
        <f t="shared" si="7"/>
        <v>8.8594939629316319E-2</v>
      </c>
      <c r="BF63">
        <f t="shared" si="8"/>
        <v>25.891097440778672</v>
      </c>
      <c r="BG63">
        <f t="shared" si="9"/>
        <v>44.30294906166219</v>
      </c>
      <c r="BH63">
        <f t="shared" si="10"/>
        <v>0</v>
      </c>
      <c r="BI63">
        <f t="shared" si="11"/>
        <v>0</v>
      </c>
      <c r="BJ63">
        <f t="shared" si="12"/>
        <v>6.4888224050527716</v>
      </c>
    </row>
    <row r="64" spans="1:62" ht="15.6" thickBot="1">
      <c r="A64" s="7" t="s">
        <v>148</v>
      </c>
      <c r="B64" s="9" t="s">
        <v>118</v>
      </c>
      <c r="C64" s="38" t="s">
        <v>63</v>
      </c>
      <c r="D64" s="35">
        <v>40.963855421686745</v>
      </c>
      <c r="E64" s="10">
        <v>95.5</v>
      </c>
      <c r="F64" s="10">
        <v>16.265060240963855</v>
      </c>
      <c r="G64" s="10">
        <v>42.771084337349393</v>
      </c>
      <c r="H64" s="11">
        <v>17.57085</v>
      </c>
      <c r="I64" s="12">
        <v>47.7</v>
      </c>
      <c r="J64" s="14">
        <v>4.7</v>
      </c>
      <c r="K64" s="14">
        <v>97</v>
      </c>
      <c r="L64" s="15">
        <v>36</v>
      </c>
      <c r="M64" s="13">
        <v>67</v>
      </c>
      <c r="N64" s="15">
        <v>79</v>
      </c>
      <c r="O64" s="16">
        <v>37</v>
      </c>
      <c r="P64" s="15">
        <v>84</v>
      </c>
      <c r="Q64" s="15">
        <v>81</v>
      </c>
      <c r="R64" s="22">
        <v>74</v>
      </c>
      <c r="S64" s="10">
        <v>94</v>
      </c>
      <c r="T64" s="42">
        <v>71.741410750160796</v>
      </c>
      <c r="U64" s="65">
        <v>0.23037099999999999</v>
      </c>
      <c r="V64" s="65">
        <v>0.169376</v>
      </c>
      <c r="W64" s="65">
        <v>0.33119700000000002</v>
      </c>
      <c r="X64" s="65">
        <v>0.65460200000000002</v>
      </c>
      <c r="Y64" s="65">
        <v>0.919983</v>
      </c>
      <c r="Z64" s="65">
        <v>0.83475200000000005</v>
      </c>
      <c r="AA64" s="65">
        <v>0.16414500000000001</v>
      </c>
      <c r="AB64" s="65">
        <v>0.37879600000000002</v>
      </c>
      <c r="AC64" s="65">
        <v>0.37607200000000002</v>
      </c>
      <c r="AD64" s="65">
        <v>9.8141999999999993E-2</v>
      </c>
      <c r="AE64" s="65">
        <v>0.23289899999999999</v>
      </c>
      <c r="AF64" s="65">
        <v>4.5709E-2</v>
      </c>
      <c r="AG64" s="65">
        <v>0</v>
      </c>
      <c r="AH64" s="65">
        <v>0.39159500000000003</v>
      </c>
      <c r="AI64" s="65">
        <v>0.96509800000000001</v>
      </c>
      <c r="AJ64" s="65">
        <v>0.43602400000000002</v>
      </c>
      <c r="AK64" s="65">
        <v>0.180758</v>
      </c>
      <c r="AL64">
        <v>0</v>
      </c>
      <c r="AM64">
        <v>0</v>
      </c>
      <c r="AN64">
        <v>3.6994623159643691E-2</v>
      </c>
      <c r="AO64">
        <v>0</v>
      </c>
      <c r="AP64">
        <v>0</v>
      </c>
      <c r="AQ64">
        <v>1.493102560636168E-2</v>
      </c>
      <c r="AR64">
        <v>2.3724206104040529E-4</v>
      </c>
      <c r="AS64">
        <v>0.1771098561279017</v>
      </c>
      <c r="AT64">
        <v>9.2407734869659447E-2</v>
      </c>
      <c r="AU64">
        <v>2.1747188928703819E-2</v>
      </c>
      <c r="AV64">
        <v>0.1895220139109538</v>
      </c>
      <c r="AW64">
        <v>0.52858893362402315</v>
      </c>
      <c r="AY64">
        <f t="shared" si="1"/>
        <v>0</v>
      </c>
      <c r="AZ64">
        <f t="shared" si="2"/>
        <v>0</v>
      </c>
      <c r="BA64">
        <f t="shared" si="3"/>
        <v>3.6994623159643689</v>
      </c>
      <c r="BB64">
        <f t="shared" si="4"/>
        <v>0</v>
      </c>
      <c r="BC64">
        <f t="shared" si="5"/>
        <v>0</v>
      </c>
      <c r="BD64">
        <f t="shared" si="6"/>
        <v>1.4931025606361681</v>
      </c>
      <c r="BE64">
        <f t="shared" si="7"/>
        <v>2.3724206104040531E-2</v>
      </c>
      <c r="BF64">
        <f t="shared" si="8"/>
        <v>17.710985612790171</v>
      </c>
      <c r="BG64">
        <f t="shared" si="9"/>
        <v>9.2407734869659439</v>
      </c>
      <c r="BH64">
        <f t="shared" si="10"/>
        <v>2.174718892870382</v>
      </c>
      <c r="BI64">
        <f t="shared" si="11"/>
        <v>18.952201391095379</v>
      </c>
      <c r="BJ64">
        <f t="shared" si="12"/>
        <v>52.858893362402313</v>
      </c>
    </row>
    <row r="65" spans="1:62" ht="15.6" thickBot="1">
      <c r="A65" s="6" t="s">
        <v>149</v>
      </c>
      <c r="B65" s="17" t="s">
        <v>118</v>
      </c>
      <c r="C65" s="37" t="s">
        <v>63</v>
      </c>
      <c r="D65" s="35">
        <v>40.963855421686745</v>
      </c>
      <c r="E65" s="10">
        <v>95.5</v>
      </c>
      <c r="F65" s="10">
        <v>16.265060240963855</v>
      </c>
      <c r="G65" s="10">
        <v>42.771084337349393</v>
      </c>
      <c r="H65" s="11">
        <v>34.826419047619048</v>
      </c>
      <c r="I65" s="12">
        <v>44.1</v>
      </c>
      <c r="J65" s="14">
        <v>6.9</v>
      </c>
      <c r="K65" s="14">
        <v>97</v>
      </c>
      <c r="L65" s="15">
        <v>36</v>
      </c>
      <c r="M65" s="13">
        <v>67</v>
      </c>
      <c r="N65" s="15">
        <v>79</v>
      </c>
      <c r="O65" s="16">
        <v>37</v>
      </c>
      <c r="P65" s="15">
        <v>84</v>
      </c>
      <c r="Q65" s="15">
        <v>81</v>
      </c>
      <c r="R65" s="22">
        <v>74</v>
      </c>
      <c r="S65" s="10">
        <v>94</v>
      </c>
      <c r="T65" s="42">
        <v>64.521353955738704</v>
      </c>
      <c r="U65" s="65">
        <v>0.37265399999999999</v>
      </c>
      <c r="V65" s="65">
        <v>0.29045900000000002</v>
      </c>
      <c r="W65" s="65">
        <v>0.51726000000000005</v>
      </c>
      <c r="X65" s="65">
        <v>0.69652499999999995</v>
      </c>
      <c r="Y65" s="65">
        <v>0.91590099999999997</v>
      </c>
      <c r="Z65" s="65">
        <v>0.93521600000000005</v>
      </c>
      <c r="AA65" s="65">
        <v>0.16728100000000001</v>
      </c>
      <c r="AB65" s="65">
        <v>0.452961</v>
      </c>
      <c r="AC65" s="65">
        <v>0.41613699999999998</v>
      </c>
      <c r="AD65" s="65">
        <v>0.12152399999999999</v>
      </c>
      <c r="AE65" s="65">
        <v>0.43808000000000002</v>
      </c>
      <c r="AF65" s="65">
        <v>0.106211</v>
      </c>
      <c r="AG65" s="65">
        <v>0.111163</v>
      </c>
      <c r="AH65" s="65">
        <v>0.43364900000000001</v>
      </c>
      <c r="AI65" s="65">
        <v>0.992475</v>
      </c>
      <c r="AJ65" s="65">
        <v>0.58726</v>
      </c>
      <c r="AK65" s="65">
        <v>0.155637</v>
      </c>
      <c r="AL65">
        <v>0</v>
      </c>
      <c r="AM65">
        <v>0</v>
      </c>
      <c r="AN65">
        <v>2.1856014698049261E-2</v>
      </c>
      <c r="AO65">
        <v>8.4254870984728819E-4</v>
      </c>
      <c r="AP65">
        <v>7.4962952909119168E-2</v>
      </c>
      <c r="AQ65">
        <v>1.068637833682164E-2</v>
      </c>
      <c r="AR65">
        <v>1.044760400210637E-3</v>
      </c>
      <c r="AS65">
        <v>5.8471647913128547E-2</v>
      </c>
      <c r="AT65">
        <v>0.1846145039260397</v>
      </c>
      <c r="AU65">
        <v>0</v>
      </c>
      <c r="AV65">
        <v>0</v>
      </c>
      <c r="AW65">
        <v>1.7716404442942049E-2</v>
      </c>
      <c r="AY65">
        <f t="shared" si="1"/>
        <v>0</v>
      </c>
      <c r="AZ65">
        <f t="shared" si="2"/>
        <v>0</v>
      </c>
      <c r="BA65">
        <f t="shared" si="3"/>
        <v>2.1856014698049262</v>
      </c>
      <c r="BB65">
        <f t="shared" si="4"/>
        <v>8.4254870984728822E-2</v>
      </c>
      <c r="BC65">
        <f t="shared" si="5"/>
        <v>7.4962952909119167</v>
      </c>
      <c r="BD65">
        <f t="shared" si="6"/>
        <v>1.068637833682164</v>
      </c>
      <c r="BE65">
        <f t="shared" si="7"/>
        <v>0.1044760400210637</v>
      </c>
      <c r="BF65">
        <f t="shared" si="8"/>
        <v>5.8471647913128546</v>
      </c>
      <c r="BG65">
        <f t="shared" si="9"/>
        <v>18.461450392603972</v>
      </c>
      <c r="BH65">
        <f t="shared" si="10"/>
        <v>0</v>
      </c>
      <c r="BI65">
        <f t="shared" si="11"/>
        <v>0</v>
      </c>
      <c r="BJ65">
        <f t="shared" si="12"/>
        <v>1.7716404442942049</v>
      </c>
    </row>
    <row r="66" spans="1:62" ht="15.6" thickBot="1">
      <c r="A66" s="7" t="s">
        <v>150</v>
      </c>
      <c r="B66" s="9" t="s">
        <v>141</v>
      </c>
      <c r="C66" s="38" t="s">
        <v>51</v>
      </c>
      <c r="D66" s="35">
        <v>30.256410256410255</v>
      </c>
      <c r="E66" s="10">
        <v>23.8</v>
      </c>
      <c r="F66" s="10">
        <v>6.666666666666667</v>
      </c>
      <c r="G66" s="10">
        <v>63.076923076923073</v>
      </c>
      <c r="H66" s="11">
        <v>2.5654506976744185</v>
      </c>
      <c r="I66" s="12">
        <v>34.5</v>
      </c>
      <c r="J66" s="14">
        <v>8.8000000000000007</v>
      </c>
      <c r="K66" s="14">
        <v>94</v>
      </c>
      <c r="L66" s="15">
        <v>61</v>
      </c>
      <c r="M66" s="13">
        <v>58</v>
      </c>
      <c r="N66" s="15">
        <v>81</v>
      </c>
      <c r="O66" s="16">
        <v>30</v>
      </c>
      <c r="P66" s="15">
        <v>48</v>
      </c>
      <c r="Q66" s="15">
        <v>47</v>
      </c>
      <c r="R66" s="22">
        <v>54</v>
      </c>
      <c r="S66" s="10">
        <v>82</v>
      </c>
      <c r="T66" s="42">
        <v>70.958799502634093</v>
      </c>
      <c r="U66" s="65">
        <v>0.43148500000000001</v>
      </c>
      <c r="V66" s="65">
        <v>0.28115800000000002</v>
      </c>
      <c r="W66" s="65">
        <v>0.25356800000000002</v>
      </c>
      <c r="X66" s="65">
        <v>0.60163599999999995</v>
      </c>
      <c r="Y66" s="65">
        <v>0.89105900000000005</v>
      </c>
      <c r="Z66" s="65">
        <v>0.855626</v>
      </c>
      <c r="AA66" s="65">
        <v>0.65232699999999999</v>
      </c>
      <c r="AB66" s="65">
        <v>0.58126599999999995</v>
      </c>
      <c r="AC66" s="65">
        <v>0.63291200000000003</v>
      </c>
      <c r="AD66" s="65">
        <v>0.18476500000000001</v>
      </c>
      <c r="AE66" s="65">
        <v>0.41664600000000002</v>
      </c>
      <c r="AF66" s="65">
        <v>9.9912000000000001E-2</v>
      </c>
      <c r="AG66" s="65">
        <v>0</v>
      </c>
      <c r="AH66" s="65">
        <v>0.43294500000000002</v>
      </c>
      <c r="AI66" s="65">
        <v>0.92798800000000004</v>
      </c>
      <c r="AJ66" s="65">
        <v>0.34314699999999998</v>
      </c>
      <c r="AK66" s="65">
        <v>0.51996100000000001</v>
      </c>
      <c r="AL66">
        <v>1.166588894073729E-3</v>
      </c>
      <c r="AM66">
        <v>0.14999302820073671</v>
      </c>
      <c r="AN66">
        <v>0.38795261137994319</v>
      </c>
      <c r="AO66">
        <v>0</v>
      </c>
      <c r="AP66">
        <v>0</v>
      </c>
      <c r="AQ66">
        <v>6.0927844024719298E-2</v>
      </c>
      <c r="AR66">
        <v>5.6742883807746163E-4</v>
      </c>
      <c r="AS66">
        <v>0.46798260708913642</v>
      </c>
      <c r="AT66">
        <v>0.19643225407300469</v>
      </c>
      <c r="AU66">
        <v>5.475190542852699E-3</v>
      </c>
      <c r="AV66">
        <v>0.37558471381787978</v>
      </c>
      <c r="AW66">
        <v>0.37558253265059538</v>
      </c>
      <c r="AY66">
        <f t="shared" si="1"/>
        <v>0.1166588894073729</v>
      </c>
      <c r="AZ66">
        <f t="shared" si="2"/>
        <v>14.999302820073671</v>
      </c>
      <c r="BA66">
        <f t="shared" si="3"/>
        <v>38.795261137994316</v>
      </c>
      <c r="BB66">
        <f t="shared" si="4"/>
        <v>0</v>
      </c>
      <c r="BC66">
        <f t="shared" si="5"/>
        <v>0</v>
      </c>
      <c r="BD66">
        <f t="shared" si="6"/>
        <v>6.0927844024719295</v>
      </c>
      <c r="BE66">
        <f t="shared" si="7"/>
        <v>5.6742883807746163E-2</v>
      </c>
      <c r="BF66">
        <f t="shared" si="8"/>
        <v>46.798260708913645</v>
      </c>
      <c r="BG66">
        <f t="shared" si="9"/>
        <v>19.64322540730047</v>
      </c>
      <c r="BH66">
        <f t="shared" si="10"/>
        <v>0.54751905428526992</v>
      </c>
      <c r="BI66">
        <f t="shared" si="11"/>
        <v>37.558471381787975</v>
      </c>
      <c r="BJ66">
        <f t="shared" si="12"/>
        <v>37.558253265059541</v>
      </c>
    </row>
    <row r="67" spans="1:62" ht="15.6" thickBot="1">
      <c r="A67" s="6" t="s">
        <v>151</v>
      </c>
      <c r="B67" s="17" t="s">
        <v>141</v>
      </c>
      <c r="C67" s="37" t="s">
        <v>51</v>
      </c>
      <c r="D67" s="35">
        <v>30.256410256410255</v>
      </c>
      <c r="E67" s="10">
        <v>23.8</v>
      </c>
      <c r="F67" s="10">
        <v>6.666666666666667</v>
      </c>
      <c r="G67" s="10">
        <v>63.076923076923073</v>
      </c>
      <c r="H67" s="11">
        <v>6.1950918032786877</v>
      </c>
      <c r="I67" s="12">
        <v>29</v>
      </c>
      <c r="J67" s="14">
        <v>11.4</v>
      </c>
      <c r="K67" s="14">
        <v>94</v>
      </c>
      <c r="L67" s="15">
        <v>61</v>
      </c>
      <c r="M67" s="13">
        <v>58</v>
      </c>
      <c r="N67" s="15">
        <v>81</v>
      </c>
      <c r="O67" s="16">
        <v>30</v>
      </c>
      <c r="P67" s="15">
        <v>48</v>
      </c>
      <c r="Q67" s="15">
        <v>47</v>
      </c>
      <c r="R67" s="22">
        <v>54</v>
      </c>
      <c r="S67" s="10">
        <v>82</v>
      </c>
      <c r="T67" s="42">
        <v>72.792820872554898</v>
      </c>
      <c r="U67" s="65">
        <v>0.56331699999999996</v>
      </c>
      <c r="V67" s="65">
        <v>0.48020499999999999</v>
      </c>
      <c r="W67" s="65">
        <v>0.43990800000000002</v>
      </c>
      <c r="X67" s="65">
        <v>0.76670199999999999</v>
      </c>
      <c r="Y67" s="65">
        <v>0.92126600000000003</v>
      </c>
      <c r="Z67" s="65">
        <v>0.83740400000000004</v>
      </c>
      <c r="AA67" s="65">
        <v>0.38271699999999997</v>
      </c>
      <c r="AB67" s="65">
        <v>0.61458400000000002</v>
      </c>
      <c r="AC67" s="65">
        <v>0.48867899999999997</v>
      </c>
      <c r="AD67" s="65">
        <v>0.15951499999999999</v>
      </c>
      <c r="AE67" s="65">
        <v>0.30902600000000002</v>
      </c>
      <c r="AF67" s="65">
        <v>8.3427000000000001E-2</v>
      </c>
      <c r="AG67" s="65">
        <v>1.3846000000000001E-2</v>
      </c>
      <c r="AH67" s="65">
        <v>0.44469399999999998</v>
      </c>
      <c r="AI67" s="65">
        <v>0.85028800000000004</v>
      </c>
      <c r="AJ67" s="65">
        <v>0.45305400000000001</v>
      </c>
      <c r="AK67" s="65">
        <v>0.49704500000000001</v>
      </c>
      <c r="AL67">
        <v>3.3886818027787191E-3</v>
      </c>
      <c r="AM67">
        <v>0.2998340339208837</v>
      </c>
      <c r="AN67">
        <v>0.5431426377025188</v>
      </c>
      <c r="AO67">
        <v>2.1687563537783798E-3</v>
      </c>
      <c r="AP67">
        <v>0.2998340339208837</v>
      </c>
      <c r="AQ67">
        <v>0.22070205701230339</v>
      </c>
      <c r="AR67">
        <v>2.3856319891562181E-4</v>
      </c>
      <c r="AS67">
        <v>0.23387272490518751</v>
      </c>
      <c r="AT67">
        <v>0.16797721821003889</v>
      </c>
      <c r="AU67">
        <v>1.988026657630182E-3</v>
      </c>
      <c r="AV67">
        <v>0.25026292038126091</v>
      </c>
      <c r="AW67">
        <v>0.33072686475827828</v>
      </c>
      <c r="AY67">
        <f t="shared" ref="AY67:AY112" si="13">100*AL67</f>
        <v>0.33886818027787191</v>
      </c>
      <c r="AZ67">
        <f t="shared" ref="AZ67:AZ112" si="14">100*AM67</f>
        <v>29.98340339208837</v>
      </c>
      <c r="BA67">
        <f t="shared" ref="BA67:BA112" si="15">100*AN67</f>
        <v>54.314263770251884</v>
      </c>
      <c r="BB67">
        <f t="shared" ref="BB67:BB112" si="16">100*AO67</f>
        <v>0.21687563537783799</v>
      </c>
      <c r="BC67">
        <f t="shared" ref="BC67:BC112" si="17">100*AP67</f>
        <v>29.98340339208837</v>
      </c>
      <c r="BD67">
        <f t="shared" ref="BD67:BD112" si="18">100*AQ67</f>
        <v>22.070205701230339</v>
      </c>
      <c r="BE67">
        <f t="shared" ref="BE67:BE112" si="19">100*AR67</f>
        <v>2.3856319891562179E-2</v>
      </c>
      <c r="BF67">
        <f t="shared" ref="BF67:BF112" si="20">100*AS67</f>
        <v>23.38727249051875</v>
      </c>
      <c r="BG67">
        <f t="shared" ref="BG67:BG112" si="21">100*AT67</f>
        <v>16.79772182100389</v>
      </c>
      <c r="BH67">
        <f t="shared" ref="BH67:BH112" si="22">100*AU67</f>
        <v>0.19880266576301819</v>
      </c>
      <c r="BI67">
        <f t="shared" ref="BI67:BI112" si="23">100*AV67</f>
        <v>25.02629203812609</v>
      </c>
      <c r="BJ67">
        <f t="shared" ref="BJ67:BJ112" si="24">100*AW67</f>
        <v>33.07268647582783</v>
      </c>
    </row>
    <row r="68" spans="1:62" ht="15.6" thickBot="1">
      <c r="A68" s="7" t="s">
        <v>152</v>
      </c>
      <c r="B68" s="9" t="s">
        <v>153</v>
      </c>
      <c r="C68" s="38" t="s">
        <v>134</v>
      </c>
      <c r="D68" s="35">
        <v>43.640897755610972</v>
      </c>
      <c r="E68" s="10">
        <v>96</v>
      </c>
      <c r="F68" s="10">
        <v>13.96508728179551</v>
      </c>
      <c r="G68" s="10">
        <v>42.394014962593516</v>
      </c>
      <c r="H68" s="11">
        <v>2.1720147058823533</v>
      </c>
      <c r="I68" s="12">
        <v>77</v>
      </c>
      <c r="J68" s="14">
        <v>17.7</v>
      </c>
      <c r="K68" s="14">
        <v>88</v>
      </c>
      <c r="L68" s="15">
        <v>66</v>
      </c>
      <c r="M68" s="13">
        <v>51</v>
      </c>
      <c r="N68" s="15">
        <v>66</v>
      </c>
      <c r="O68" s="16">
        <v>24</v>
      </c>
      <c r="P68" s="15">
        <v>78</v>
      </c>
      <c r="Q68" s="15">
        <v>74</v>
      </c>
      <c r="R68" s="22">
        <v>56.000000000000007</v>
      </c>
      <c r="S68" s="10">
        <v>71</v>
      </c>
      <c r="T68" s="42">
        <v>60.703374089116203</v>
      </c>
      <c r="U68" s="65">
        <v>3.1537999999999997E-2</v>
      </c>
      <c r="V68" s="65">
        <v>5.2713999999999997E-2</v>
      </c>
      <c r="W68" s="65">
        <v>6.7433000000000007E-2</v>
      </c>
      <c r="X68" s="65">
        <v>0.88977399999999995</v>
      </c>
      <c r="Y68" s="65">
        <v>0.93624200000000002</v>
      </c>
      <c r="Z68" s="65">
        <v>0.16101399999999999</v>
      </c>
      <c r="AA68" s="65">
        <v>0.115895</v>
      </c>
      <c r="AB68" s="65">
        <v>0.27095399999999997</v>
      </c>
      <c r="AC68" s="65">
        <v>0.15353600000000001</v>
      </c>
      <c r="AD68" s="65">
        <v>6.0718000000000001E-2</v>
      </c>
      <c r="AE68" s="65">
        <v>0.13703799999999999</v>
      </c>
      <c r="AF68" s="65">
        <v>4.6526999999999999E-2</v>
      </c>
      <c r="AG68" s="65">
        <v>6.0187999999999998E-2</v>
      </c>
      <c r="AH68" s="65">
        <v>0.144265</v>
      </c>
      <c r="AI68" s="65">
        <v>0.55284599999999995</v>
      </c>
      <c r="AJ68" s="65">
        <v>0.15623000000000001</v>
      </c>
      <c r="AK68" s="65">
        <v>0.72528999999999999</v>
      </c>
      <c r="AL68">
        <v>0.1041666666666667</v>
      </c>
      <c r="AM68">
        <v>1.437350487385314E-2</v>
      </c>
      <c r="AN68">
        <v>1.7813903041921E-2</v>
      </c>
      <c r="AO68">
        <v>0.13333333333333339</v>
      </c>
      <c r="AP68">
        <v>1.437350487385314E-2</v>
      </c>
      <c r="AQ68">
        <v>6.274960680286705E-3</v>
      </c>
      <c r="AR68">
        <v>0.128</v>
      </c>
      <c r="AS68">
        <v>3.3634314697307169E-2</v>
      </c>
      <c r="AT68">
        <v>0.18377080865390599</v>
      </c>
      <c r="AU68">
        <v>0</v>
      </c>
      <c r="AV68">
        <v>0</v>
      </c>
      <c r="AW68">
        <v>0</v>
      </c>
      <c r="AY68">
        <f t="shared" si="13"/>
        <v>10.41666666666667</v>
      </c>
      <c r="AZ68">
        <f t="shared" si="14"/>
        <v>1.437350487385314</v>
      </c>
      <c r="BA68">
        <f t="shared" si="15"/>
        <v>1.7813903041921</v>
      </c>
      <c r="BB68">
        <f t="shared" si="16"/>
        <v>13.333333333333339</v>
      </c>
      <c r="BC68">
        <f t="shared" si="17"/>
        <v>1.437350487385314</v>
      </c>
      <c r="BD68">
        <f t="shared" si="18"/>
        <v>0.62749606802867053</v>
      </c>
      <c r="BE68">
        <f t="shared" si="19"/>
        <v>12.8</v>
      </c>
      <c r="BF68">
        <f t="shared" si="20"/>
        <v>3.3634314697307168</v>
      </c>
      <c r="BG68">
        <f t="shared" si="21"/>
        <v>18.377080865390599</v>
      </c>
      <c r="BH68">
        <f t="shared" si="22"/>
        <v>0</v>
      </c>
      <c r="BI68">
        <f t="shared" si="23"/>
        <v>0</v>
      </c>
      <c r="BJ68">
        <f t="shared" si="24"/>
        <v>0</v>
      </c>
    </row>
    <row r="69" spans="1:62" ht="15.6" thickBot="1">
      <c r="A69" s="6" t="s">
        <v>154</v>
      </c>
      <c r="B69" s="17" t="s">
        <v>87</v>
      </c>
      <c r="C69" s="37" t="s">
        <v>51</v>
      </c>
      <c r="D69" s="35">
        <v>30.256410256410255</v>
      </c>
      <c r="E69" s="10">
        <v>23.8</v>
      </c>
      <c r="F69" s="10">
        <v>6.666666666666667</v>
      </c>
      <c r="G69" s="10">
        <v>63.076923076923073</v>
      </c>
      <c r="H69" s="11">
        <v>9.2841145833333325</v>
      </c>
      <c r="I69" s="12">
        <v>33.5</v>
      </c>
      <c r="J69" s="14">
        <v>9.4</v>
      </c>
      <c r="K69" s="14">
        <v>91</v>
      </c>
      <c r="L69" s="15">
        <v>62</v>
      </c>
      <c r="M69" s="13">
        <v>54</v>
      </c>
      <c r="N69" s="15">
        <v>72</v>
      </c>
      <c r="O69" s="16">
        <v>20</v>
      </c>
      <c r="P69" s="15">
        <v>69</v>
      </c>
      <c r="Q69" s="15">
        <v>67</v>
      </c>
      <c r="R69" s="22">
        <v>54</v>
      </c>
      <c r="S69" s="10">
        <v>78</v>
      </c>
      <c r="T69" s="42">
        <v>73.474740606633006</v>
      </c>
      <c r="U69" s="65">
        <v>0.29301899999999997</v>
      </c>
      <c r="V69" s="65">
        <v>0.18931999999999999</v>
      </c>
      <c r="W69" s="65">
        <v>0.20419399999999999</v>
      </c>
      <c r="X69" s="65">
        <v>0.66106200000000004</v>
      </c>
      <c r="Y69" s="65">
        <v>0.87475599999999998</v>
      </c>
      <c r="Z69" s="65">
        <v>0.68977900000000003</v>
      </c>
      <c r="AA69" s="65">
        <v>0.40438299999999999</v>
      </c>
      <c r="AB69" s="65">
        <v>0.44964900000000002</v>
      </c>
      <c r="AC69" s="65">
        <v>0.44157099999999999</v>
      </c>
      <c r="AD69" s="65">
        <v>0.15661700000000001</v>
      </c>
      <c r="AE69" s="65">
        <v>0.48625299999999999</v>
      </c>
      <c r="AF69" s="65">
        <v>0.147561</v>
      </c>
      <c r="AG69" s="65">
        <v>2.8926E-2</v>
      </c>
      <c r="AH69" s="65">
        <v>0.41729100000000002</v>
      </c>
      <c r="AI69" s="65">
        <v>0.90657600000000005</v>
      </c>
      <c r="AJ69" s="65">
        <v>0.48327799999999999</v>
      </c>
      <c r="AK69" s="65">
        <v>0.46293899999999999</v>
      </c>
      <c r="AL69">
        <v>2.9005685114282401E-3</v>
      </c>
      <c r="AM69">
        <v>8.0997946537161108E-2</v>
      </c>
      <c r="AN69">
        <v>0.41616633095754568</v>
      </c>
      <c r="AO69">
        <v>0</v>
      </c>
      <c r="AP69">
        <v>0</v>
      </c>
      <c r="AQ69">
        <v>8.6262636310508178E-3</v>
      </c>
      <c r="AR69">
        <v>4.4552732335537772E-4</v>
      </c>
      <c r="AS69">
        <v>0.1263579735806046</v>
      </c>
      <c r="AT69">
        <v>0.38347376484105689</v>
      </c>
      <c r="AU69">
        <v>0</v>
      </c>
      <c r="AV69">
        <v>0</v>
      </c>
      <c r="AW69">
        <v>2.2224596644940701E-2</v>
      </c>
      <c r="AY69">
        <f t="shared" si="13"/>
        <v>0.29005685114282403</v>
      </c>
      <c r="AZ69">
        <f t="shared" si="14"/>
        <v>8.0997946537161116</v>
      </c>
      <c r="BA69">
        <f t="shared" si="15"/>
        <v>41.616633095754565</v>
      </c>
      <c r="BB69">
        <f t="shared" si="16"/>
        <v>0</v>
      </c>
      <c r="BC69">
        <f t="shared" si="17"/>
        <v>0</v>
      </c>
      <c r="BD69">
        <f t="shared" si="18"/>
        <v>0.86262636310508178</v>
      </c>
      <c r="BE69">
        <f t="shared" si="19"/>
        <v>4.4552732335537769E-2</v>
      </c>
      <c r="BF69">
        <f t="shared" si="20"/>
        <v>12.63579735806046</v>
      </c>
      <c r="BG69">
        <f t="shared" si="21"/>
        <v>38.347376484105688</v>
      </c>
      <c r="BH69">
        <f t="shared" si="22"/>
        <v>0</v>
      </c>
      <c r="BI69">
        <f t="shared" si="23"/>
        <v>0</v>
      </c>
      <c r="BJ69">
        <f t="shared" si="24"/>
        <v>2.2224596644940702</v>
      </c>
    </row>
    <row r="70" spans="1:62" ht="15.6" thickBot="1">
      <c r="A70" s="7" t="s">
        <v>155</v>
      </c>
      <c r="B70" s="9" t="s">
        <v>90</v>
      </c>
      <c r="C70" s="38" t="s">
        <v>51</v>
      </c>
      <c r="D70" s="35">
        <v>30.256410256410255</v>
      </c>
      <c r="E70" s="10">
        <v>23.8</v>
      </c>
      <c r="F70" s="10">
        <v>6.666666666666667</v>
      </c>
      <c r="G70" s="10">
        <v>63.076923076923073</v>
      </c>
      <c r="H70" s="11">
        <v>7.0973419354838709</v>
      </c>
      <c r="I70" s="12">
        <v>36.700000000000003</v>
      </c>
      <c r="J70" s="14">
        <v>11.4</v>
      </c>
      <c r="K70" s="14">
        <v>93</v>
      </c>
      <c r="L70" s="15">
        <v>47</v>
      </c>
      <c r="M70" s="13">
        <v>60</v>
      </c>
      <c r="N70" s="15">
        <v>83</v>
      </c>
      <c r="O70" s="16">
        <v>34</v>
      </c>
      <c r="P70" s="15">
        <v>56.999999999999993</v>
      </c>
      <c r="Q70" s="15">
        <v>77</v>
      </c>
      <c r="R70" s="22">
        <v>54</v>
      </c>
      <c r="S70" s="10">
        <v>79</v>
      </c>
      <c r="T70" s="42">
        <v>65.883381188950395</v>
      </c>
      <c r="U70" s="65">
        <v>0.45339099999999999</v>
      </c>
      <c r="V70" s="65">
        <v>0.379473</v>
      </c>
      <c r="W70" s="65">
        <v>0.71562800000000004</v>
      </c>
      <c r="X70" s="65">
        <v>0.799149</v>
      </c>
      <c r="Y70" s="65">
        <v>0.95383600000000002</v>
      </c>
      <c r="Z70" s="65">
        <v>0.74044500000000002</v>
      </c>
      <c r="AA70" s="65">
        <v>0.43078499999999997</v>
      </c>
      <c r="AB70" s="65">
        <v>0.43124099999999999</v>
      </c>
      <c r="AC70" s="65">
        <v>0.31693900000000003</v>
      </c>
      <c r="AD70" s="65">
        <v>8.3706000000000003E-2</v>
      </c>
      <c r="AE70" s="65">
        <v>0.328654</v>
      </c>
      <c r="AF70" s="65">
        <v>6.9364999999999996E-2</v>
      </c>
      <c r="AG70" s="65">
        <v>0</v>
      </c>
      <c r="AH70" s="65">
        <v>0.49756400000000001</v>
      </c>
      <c r="AI70" s="65">
        <v>0.88614599999999999</v>
      </c>
      <c r="AJ70" s="65">
        <v>0.64771800000000002</v>
      </c>
      <c r="AK70" s="65">
        <v>0.47560000000000002</v>
      </c>
      <c r="AL70">
        <v>0</v>
      </c>
      <c r="AM70">
        <v>0</v>
      </c>
      <c r="AN70">
        <v>0.40911700905958881</v>
      </c>
      <c r="AO70">
        <v>0</v>
      </c>
      <c r="AP70">
        <v>0</v>
      </c>
      <c r="AQ70">
        <v>3.7302761647787321E-3</v>
      </c>
      <c r="AR70">
        <v>1.6761239633347879E-4</v>
      </c>
      <c r="AS70">
        <v>0.21912984221411189</v>
      </c>
      <c r="AT70">
        <v>0.25446639781918129</v>
      </c>
      <c r="AU70">
        <v>0</v>
      </c>
      <c r="AV70">
        <v>0</v>
      </c>
      <c r="AW70">
        <v>0.19790953030426819</v>
      </c>
      <c r="AY70">
        <f t="shared" si="13"/>
        <v>0</v>
      </c>
      <c r="AZ70">
        <f t="shared" si="14"/>
        <v>0</v>
      </c>
      <c r="BA70">
        <f t="shared" si="15"/>
        <v>40.911700905958881</v>
      </c>
      <c r="BB70">
        <f t="shared" si="16"/>
        <v>0</v>
      </c>
      <c r="BC70">
        <f t="shared" si="17"/>
        <v>0</v>
      </c>
      <c r="BD70">
        <f t="shared" si="18"/>
        <v>0.37302761647787319</v>
      </c>
      <c r="BE70">
        <f t="shared" si="19"/>
        <v>1.6761239633347878E-2</v>
      </c>
      <c r="BF70">
        <f t="shared" si="20"/>
        <v>21.91298422141119</v>
      </c>
      <c r="BG70">
        <f t="shared" si="21"/>
        <v>25.44663978191813</v>
      </c>
      <c r="BH70">
        <f t="shared" si="22"/>
        <v>0</v>
      </c>
      <c r="BI70">
        <f t="shared" si="23"/>
        <v>0</v>
      </c>
      <c r="BJ70">
        <f t="shared" si="24"/>
        <v>19.79095303042682</v>
      </c>
    </row>
    <row r="71" spans="1:62" ht="15.6" thickBot="1">
      <c r="A71" s="6" t="s">
        <v>156</v>
      </c>
      <c r="B71" s="17" t="s">
        <v>156</v>
      </c>
      <c r="C71" s="37" t="s">
        <v>60</v>
      </c>
      <c r="D71" s="35">
        <v>36.068895643363732</v>
      </c>
      <c r="E71" s="10">
        <v>182.1</v>
      </c>
      <c r="F71" s="10">
        <v>37.08206686930091</v>
      </c>
      <c r="G71" s="10">
        <v>26.849037487335359</v>
      </c>
      <c r="H71" s="11">
        <v>1.6071244444444446</v>
      </c>
      <c r="I71" s="12">
        <v>78.099999999999994</v>
      </c>
      <c r="J71" s="14">
        <v>10.6</v>
      </c>
      <c r="K71" s="14"/>
      <c r="L71" s="15">
        <v>0</v>
      </c>
      <c r="M71" s="15"/>
      <c r="N71" s="15">
        <v>0</v>
      </c>
      <c r="O71" s="15">
        <v>0</v>
      </c>
      <c r="P71" s="15">
        <v>0</v>
      </c>
      <c r="Q71" s="15">
        <v>0</v>
      </c>
      <c r="R71" s="22">
        <v>71</v>
      </c>
      <c r="S71" s="10"/>
      <c r="T71" s="42"/>
      <c r="U71" s="65">
        <v>8.14E-5</v>
      </c>
      <c r="V71" s="65">
        <v>0</v>
      </c>
      <c r="W71" s="65">
        <v>7.038E-3</v>
      </c>
      <c r="X71" s="65">
        <v>0.49400699999999997</v>
      </c>
      <c r="Y71" s="65">
        <v>0.68809200000000004</v>
      </c>
      <c r="Z71" s="65">
        <v>9.5634999999999998E-2</v>
      </c>
      <c r="AA71" s="65">
        <v>3.5729999999999998E-2</v>
      </c>
      <c r="AB71" s="65">
        <v>0</v>
      </c>
      <c r="AC71" s="65">
        <v>0</v>
      </c>
      <c r="AD71" s="65">
        <v>0</v>
      </c>
      <c r="AE71" s="65">
        <v>0.18887200000000001</v>
      </c>
      <c r="AF71" s="65">
        <v>9.7250000000000003E-2</v>
      </c>
      <c r="AG71" s="65">
        <v>6.96E-3</v>
      </c>
      <c r="AH71" s="65">
        <v>0.13270999999999999</v>
      </c>
      <c r="AI71" s="65">
        <v>0</v>
      </c>
      <c r="AJ71" s="65">
        <v>6.5997E-2</v>
      </c>
      <c r="AK71" s="65">
        <v>0.564253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1.0879972147271301E-4</v>
      </c>
      <c r="AR71">
        <v>0.26074074074074077</v>
      </c>
      <c r="AS71">
        <v>4.5365142026489733E-3</v>
      </c>
      <c r="AT71">
        <v>9.752010723860588E-2</v>
      </c>
      <c r="AU71">
        <v>0</v>
      </c>
      <c r="AV71">
        <v>0</v>
      </c>
      <c r="AW71">
        <v>0</v>
      </c>
      <c r="AY71">
        <f t="shared" si="13"/>
        <v>0</v>
      </c>
      <c r="AZ71">
        <f t="shared" si="14"/>
        <v>0</v>
      </c>
      <c r="BA71">
        <f t="shared" si="15"/>
        <v>0</v>
      </c>
      <c r="BB71">
        <f t="shared" si="16"/>
        <v>0</v>
      </c>
      <c r="BC71">
        <f t="shared" si="17"/>
        <v>0</v>
      </c>
      <c r="BD71">
        <f t="shared" si="18"/>
        <v>1.0879972147271301E-2</v>
      </c>
      <c r="BE71">
        <f t="shared" si="19"/>
        <v>26.074074074074076</v>
      </c>
      <c r="BF71">
        <f t="shared" si="20"/>
        <v>0.45365142026489735</v>
      </c>
      <c r="BG71">
        <f t="shared" si="21"/>
        <v>9.7520107238605878</v>
      </c>
      <c r="BH71">
        <f t="shared" si="22"/>
        <v>0</v>
      </c>
      <c r="BI71">
        <f t="shared" si="23"/>
        <v>0</v>
      </c>
      <c r="BJ71">
        <f t="shared" si="24"/>
        <v>0</v>
      </c>
    </row>
    <row r="72" spans="1:62" ht="15.6" thickBot="1">
      <c r="A72" s="7" t="s">
        <v>157</v>
      </c>
      <c r="B72" s="9" t="s">
        <v>158</v>
      </c>
      <c r="C72" s="38" t="s">
        <v>54</v>
      </c>
      <c r="D72" s="35">
        <v>35.483870967741936</v>
      </c>
      <c r="E72" s="10">
        <v>49.5</v>
      </c>
      <c r="F72" s="10">
        <v>17.419354838709676</v>
      </c>
      <c r="G72" s="10">
        <v>47.096774193548384</v>
      </c>
      <c r="H72" s="11">
        <v>48.008226315789479</v>
      </c>
      <c r="I72" s="12">
        <v>52.8</v>
      </c>
      <c r="J72" s="14">
        <v>9.6</v>
      </c>
      <c r="K72" s="14">
        <v>98</v>
      </c>
      <c r="L72" s="15">
        <v>12</v>
      </c>
      <c r="M72" s="13">
        <v>80</v>
      </c>
      <c r="N72" s="15">
        <v>78</v>
      </c>
      <c r="O72" s="16">
        <v>27</v>
      </c>
      <c r="P72" s="15">
        <v>83</v>
      </c>
      <c r="Q72" s="15">
        <v>83</v>
      </c>
      <c r="R72" s="22">
        <v>62</v>
      </c>
      <c r="S72" s="10">
        <v>85</v>
      </c>
      <c r="T72" s="42">
        <v>71.765490923511251</v>
      </c>
      <c r="U72" s="65">
        <v>0.15338399999999999</v>
      </c>
      <c r="V72" s="65">
        <v>0.22264800000000001</v>
      </c>
      <c r="W72" s="65">
        <v>0.39035900000000001</v>
      </c>
      <c r="X72" s="65">
        <v>0.71254399999999996</v>
      </c>
      <c r="Y72" s="65">
        <v>0.92171700000000001</v>
      </c>
      <c r="Z72" s="65">
        <v>0.224608</v>
      </c>
      <c r="AA72" s="65">
        <v>0.116554</v>
      </c>
      <c r="AB72" s="65">
        <v>0.36902099999999999</v>
      </c>
      <c r="AC72" s="65">
        <v>0.32799099999999998</v>
      </c>
      <c r="AD72" s="65">
        <v>9.4284000000000007E-2</v>
      </c>
      <c r="AE72" s="65">
        <v>0.31016899999999997</v>
      </c>
      <c r="AF72" s="65">
        <v>7.2203000000000003E-2</v>
      </c>
      <c r="AG72" s="65">
        <v>0</v>
      </c>
      <c r="AH72" s="65">
        <v>0.47444599999999998</v>
      </c>
      <c r="AI72" s="65">
        <v>0.652196</v>
      </c>
      <c r="AJ72" s="65">
        <v>0.60346599999999995</v>
      </c>
      <c r="AK72" s="65">
        <v>0.70762999999999998</v>
      </c>
      <c r="AL72">
        <v>6.4267352185089976E-3</v>
      </c>
      <c r="AM72">
        <v>1.941251432183248E-2</v>
      </c>
      <c r="AN72">
        <v>2.8320730657205629E-2</v>
      </c>
      <c r="AO72">
        <v>4.1131105398457581E-3</v>
      </c>
      <c r="AP72">
        <v>1.941251432183248E-2</v>
      </c>
      <c r="AQ72">
        <v>9.5158454875917346E-3</v>
      </c>
      <c r="AR72">
        <v>1.1187660668380461E-2</v>
      </c>
      <c r="AS72">
        <v>9.0851413276971327E-2</v>
      </c>
      <c r="AT72">
        <v>0.20674254011270521</v>
      </c>
      <c r="AU72">
        <v>6.0325621251071118E-2</v>
      </c>
      <c r="AV72">
        <v>0.19443686746008729</v>
      </c>
      <c r="AW72">
        <v>0.1181652840804923</v>
      </c>
      <c r="AY72">
        <f t="shared" si="13"/>
        <v>0.64267352185089976</v>
      </c>
      <c r="AZ72">
        <f t="shared" si="14"/>
        <v>1.9412514321832479</v>
      </c>
      <c r="BA72">
        <f t="shared" si="15"/>
        <v>2.8320730657205631</v>
      </c>
      <c r="BB72">
        <f t="shared" si="16"/>
        <v>0.41131105398457579</v>
      </c>
      <c r="BC72">
        <f t="shared" si="17"/>
        <v>1.9412514321832479</v>
      </c>
      <c r="BD72">
        <f t="shared" si="18"/>
        <v>0.95158454875917342</v>
      </c>
      <c r="BE72">
        <f t="shared" si="19"/>
        <v>1.1187660668380461</v>
      </c>
      <c r="BF72">
        <f t="shared" si="20"/>
        <v>9.0851413276971336</v>
      </c>
      <c r="BG72">
        <f t="shared" si="21"/>
        <v>20.67425401127052</v>
      </c>
      <c r="BH72">
        <f t="shared" si="22"/>
        <v>6.0325621251071118</v>
      </c>
      <c r="BI72">
        <f t="shared" si="23"/>
        <v>19.44368674600873</v>
      </c>
      <c r="BJ72">
        <f t="shared" si="24"/>
        <v>11.81652840804923</v>
      </c>
    </row>
    <row r="73" spans="1:62" ht="15.6" thickBot="1">
      <c r="A73" s="6" t="s">
        <v>159</v>
      </c>
      <c r="B73" s="20" t="s">
        <v>92</v>
      </c>
      <c r="C73" s="37" t="s">
        <v>63</v>
      </c>
      <c r="D73" s="35">
        <v>40.963855421686745</v>
      </c>
      <c r="E73" s="10">
        <v>95.5</v>
      </c>
      <c r="F73" s="10">
        <v>16.265060240963855</v>
      </c>
      <c r="G73" s="10">
        <v>42.771084337349393</v>
      </c>
      <c r="H73" s="11">
        <v>9.3129142857142853</v>
      </c>
      <c r="I73" s="12">
        <v>54.3</v>
      </c>
      <c r="J73" s="14">
        <v>11.6</v>
      </c>
      <c r="K73" s="14">
        <v>95</v>
      </c>
      <c r="L73" s="15">
        <v>37</v>
      </c>
      <c r="M73" s="13">
        <v>68</v>
      </c>
      <c r="N73" s="15">
        <v>84</v>
      </c>
      <c r="O73" s="16">
        <v>42</v>
      </c>
      <c r="P73" s="15">
        <v>75</v>
      </c>
      <c r="Q73" s="15">
        <v>70</v>
      </c>
      <c r="R73" s="22">
        <v>74</v>
      </c>
      <c r="S73" s="10">
        <v>94</v>
      </c>
      <c r="T73" s="42">
        <v>48.3581232357622</v>
      </c>
      <c r="U73" s="65">
        <v>0.121034</v>
      </c>
      <c r="V73" s="65">
        <v>9.2660999999999993E-2</v>
      </c>
      <c r="W73" s="65">
        <v>0.18385099999999999</v>
      </c>
      <c r="X73" s="65">
        <v>0.72080200000000005</v>
      </c>
      <c r="Y73" s="65">
        <v>0.87983100000000003</v>
      </c>
      <c r="Z73" s="65">
        <v>0.68289299999999997</v>
      </c>
      <c r="AA73" s="65">
        <v>0.21881600000000001</v>
      </c>
      <c r="AB73" s="65">
        <v>7.8618999999999994E-2</v>
      </c>
      <c r="AC73" s="65">
        <v>6.6656999999999994E-2</v>
      </c>
      <c r="AD73" s="65">
        <v>2.4621000000000001E-2</v>
      </c>
      <c r="AE73" s="65">
        <v>7.3715000000000003E-2</v>
      </c>
      <c r="AF73" s="65">
        <v>2.2771E-2</v>
      </c>
      <c r="AG73" s="65">
        <v>0</v>
      </c>
      <c r="AH73" s="65">
        <v>0.27309800000000001</v>
      </c>
      <c r="AI73" s="65">
        <v>0.90605999999999998</v>
      </c>
      <c r="AJ73" s="65">
        <v>0.53239700000000001</v>
      </c>
      <c r="AK73" s="65">
        <v>0.181867</v>
      </c>
      <c r="AL73">
        <v>0</v>
      </c>
      <c r="AM73">
        <v>0</v>
      </c>
      <c r="AN73">
        <v>0</v>
      </c>
      <c r="AO73">
        <v>2.2566995768688301E-3</v>
      </c>
      <c r="AP73">
        <v>3.1540663527114703E-2</v>
      </c>
      <c r="AQ73">
        <v>6.843127309180296E-3</v>
      </c>
      <c r="AR73">
        <v>7.2214386459802551E-4</v>
      </c>
      <c r="AS73">
        <v>4.92038934202539E-2</v>
      </c>
      <c r="AT73">
        <v>5.948969215124341E-2</v>
      </c>
      <c r="AU73">
        <v>2.4823695345557121E-2</v>
      </c>
      <c r="AV73">
        <v>7.8978278034386853E-2</v>
      </c>
      <c r="AW73">
        <v>0.21458231243391021</v>
      </c>
      <c r="AY73">
        <f t="shared" si="13"/>
        <v>0</v>
      </c>
      <c r="AZ73">
        <f t="shared" si="14"/>
        <v>0</v>
      </c>
      <c r="BA73">
        <f t="shared" si="15"/>
        <v>0</v>
      </c>
      <c r="BB73">
        <f t="shared" si="16"/>
        <v>0.225669957686883</v>
      </c>
      <c r="BC73">
        <f t="shared" si="17"/>
        <v>3.1540663527114701</v>
      </c>
      <c r="BD73">
        <f t="shared" si="18"/>
        <v>0.68431273091802958</v>
      </c>
      <c r="BE73">
        <f t="shared" si="19"/>
        <v>7.2214386459802549E-2</v>
      </c>
      <c r="BF73">
        <f t="shared" si="20"/>
        <v>4.9203893420253904</v>
      </c>
      <c r="BG73">
        <f t="shared" si="21"/>
        <v>5.9489692151243414</v>
      </c>
      <c r="BH73">
        <f t="shared" si="22"/>
        <v>2.482369534555712</v>
      </c>
      <c r="BI73">
        <f t="shared" si="23"/>
        <v>7.8978278034386857</v>
      </c>
      <c r="BJ73">
        <f t="shared" si="24"/>
        <v>21.458231243391023</v>
      </c>
    </row>
    <row r="74" spans="1:62" ht="15.6" thickBot="1">
      <c r="A74" s="7" t="s">
        <v>160</v>
      </c>
      <c r="B74" s="9" t="s">
        <v>82</v>
      </c>
      <c r="C74" s="38" t="s">
        <v>57</v>
      </c>
      <c r="D74" s="35">
        <v>28.15126050420168</v>
      </c>
      <c r="E74" s="10">
        <v>29.6</v>
      </c>
      <c r="F74" s="10">
        <v>10.504201680672269</v>
      </c>
      <c r="G74" s="10">
        <v>61.344537815126053</v>
      </c>
      <c r="H74" s="11">
        <v>3.5761717391304346</v>
      </c>
      <c r="I74" s="12">
        <v>35.200000000000003</v>
      </c>
      <c r="J74" s="14">
        <v>9.4</v>
      </c>
      <c r="K74" s="14">
        <v>96</v>
      </c>
      <c r="L74" s="15">
        <v>39</v>
      </c>
      <c r="M74" s="13">
        <v>67</v>
      </c>
      <c r="N74" s="15">
        <v>84</v>
      </c>
      <c r="O74" s="16">
        <v>26</v>
      </c>
      <c r="P74" s="15">
        <v>56.999999999999993</v>
      </c>
      <c r="Q74" s="15">
        <v>44</v>
      </c>
      <c r="R74" s="22">
        <v>49</v>
      </c>
      <c r="S74" s="10">
        <v>72</v>
      </c>
      <c r="T74" s="42">
        <v>73.671421899432403</v>
      </c>
      <c r="U74" s="65">
        <v>0.40727600000000003</v>
      </c>
      <c r="V74" s="65">
        <v>0.28924100000000003</v>
      </c>
      <c r="W74" s="65">
        <v>0.36308200000000002</v>
      </c>
      <c r="X74" s="65">
        <v>0.72837099999999999</v>
      </c>
      <c r="Y74" s="65">
        <v>0.91257999999999995</v>
      </c>
      <c r="Z74" s="65">
        <v>0.82503700000000002</v>
      </c>
      <c r="AA74" s="65">
        <v>0.31136900000000001</v>
      </c>
      <c r="AB74" s="65">
        <v>0.63149200000000005</v>
      </c>
      <c r="AC74" s="65">
        <v>0.54528600000000005</v>
      </c>
      <c r="AD74" s="65">
        <v>0.17461199999999999</v>
      </c>
      <c r="AE74" s="65">
        <v>0.41935800000000001</v>
      </c>
      <c r="AF74" s="65">
        <v>0.112382</v>
      </c>
      <c r="AG74" s="65">
        <v>6.2639999999999996E-3</v>
      </c>
      <c r="AH74" s="65">
        <v>0.36399900000000002</v>
      </c>
      <c r="AI74" s="65">
        <v>0.928813</v>
      </c>
      <c r="AJ74" s="65">
        <v>0.303008</v>
      </c>
      <c r="AK74" s="65">
        <v>0.43483100000000002</v>
      </c>
      <c r="AL74">
        <v>1.9686589495235851E-3</v>
      </c>
      <c r="AM74">
        <v>4.058214514700173E-2</v>
      </c>
      <c r="AN74">
        <v>0.18688290074051911</v>
      </c>
      <c r="AO74">
        <v>1.8899125915426409E-3</v>
      </c>
      <c r="AP74">
        <v>0.1217464354410052</v>
      </c>
      <c r="AQ74">
        <v>4.6736983801597333E-2</v>
      </c>
      <c r="AR74">
        <v>1.310339396802898E-3</v>
      </c>
      <c r="AS74">
        <v>0.1266174722584229</v>
      </c>
      <c r="AT74">
        <v>0.2771678838864749</v>
      </c>
      <c r="AU74">
        <v>6.9296795023230176E-3</v>
      </c>
      <c r="AV74">
        <v>0.2032365577785894</v>
      </c>
      <c r="AW74">
        <v>0.16465065896371189</v>
      </c>
      <c r="AY74">
        <f t="shared" si="13"/>
        <v>0.19686589495235851</v>
      </c>
      <c r="AZ74">
        <f t="shared" si="14"/>
        <v>4.0582145147001727</v>
      </c>
      <c r="BA74">
        <f t="shared" si="15"/>
        <v>18.68829007405191</v>
      </c>
      <c r="BB74">
        <f t="shared" si="16"/>
        <v>0.1889912591542641</v>
      </c>
      <c r="BC74">
        <f t="shared" si="17"/>
        <v>12.174643544100521</v>
      </c>
      <c r="BD74">
        <f t="shared" si="18"/>
        <v>4.6736983801597329</v>
      </c>
      <c r="BE74">
        <f t="shared" si="19"/>
        <v>0.13103393968028981</v>
      </c>
      <c r="BF74">
        <f t="shared" si="20"/>
        <v>12.661747225842291</v>
      </c>
      <c r="BG74">
        <f t="shared" si="21"/>
        <v>27.71678838864749</v>
      </c>
      <c r="BH74">
        <f t="shared" si="22"/>
        <v>0.69296795023230173</v>
      </c>
      <c r="BI74">
        <f t="shared" si="23"/>
        <v>20.323655777858939</v>
      </c>
      <c r="BJ74">
        <f t="shared" si="24"/>
        <v>16.46506589637119</v>
      </c>
    </row>
    <row r="75" spans="1:62" ht="15.6" thickBot="1">
      <c r="A75" s="6" t="s">
        <v>161</v>
      </c>
      <c r="B75" s="17" t="s">
        <v>53</v>
      </c>
      <c r="C75" s="37" t="s">
        <v>54</v>
      </c>
      <c r="D75" s="35">
        <v>35.483870967741936</v>
      </c>
      <c r="E75" s="10">
        <v>49.5</v>
      </c>
      <c r="F75" s="10">
        <v>17.419354838709676</v>
      </c>
      <c r="G75" s="10">
        <v>47.096774193548384</v>
      </c>
      <c r="H75" s="11">
        <v>1.4348973913043479</v>
      </c>
      <c r="I75" s="12">
        <v>27</v>
      </c>
      <c r="J75" s="14">
        <v>8.6999999999999993</v>
      </c>
      <c r="K75" s="14">
        <v>97</v>
      </c>
      <c r="L75" s="15">
        <v>38</v>
      </c>
      <c r="M75" s="15">
        <v>67</v>
      </c>
      <c r="N75" s="15">
        <v>84</v>
      </c>
      <c r="O75" s="16">
        <v>31</v>
      </c>
      <c r="P75" s="15">
        <v>74</v>
      </c>
      <c r="Q75" s="15">
        <v>78</v>
      </c>
      <c r="R75" s="22">
        <v>62</v>
      </c>
      <c r="S75" s="10">
        <v>79</v>
      </c>
      <c r="T75" s="42">
        <v>72.311254591257295</v>
      </c>
      <c r="U75" s="65">
        <v>0.35828900000000002</v>
      </c>
      <c r="V75" s="65">
        <v>0.44299100000000002</v>
      </c>
      <c r="W75" s="65">
        <v>0.63249699999999998</v>
      </c>
      <c r="X75" s="65">
        <v>0.85083699999999995</v>
      </c>
      <c r="Y75" s="65">
        <v>0.95232300000000003</v>
      </c>
      <c r="Z75" s="65">
        <v>0.42193799999999998</v>
      </c>
      <c r="AA75" s="65">
        <v>0.228655</v>
      </c>
      <c r="AB75" s="65">
        <v>0.39392500000000003</v>
      </c>
      <c r="AC75" s="65">
        <v>0.252751</v>
      </c>
      <c r="AD75" s="65">
        <v>7.7336000000000002E-2</v>
      </c>
      <c r="AE75" s="65">
        <v>0.228043</v>
      </c>
      <c r="AF75" s="65">
        <v>5.6151E-2</v>
      </c>
      <c r="AG75" s="65">
        <v>9.0779999999999993E-3</v>
      </c>
      <c r="AH75" s="65">
        <v>0.458036</v>
      </c>
      <c r="AI75" s="65">
        <v>0.83923999999999999</v>
      </c>
      <c r="AJ75" s="65">
        <v>0.57304500000000003</v>
      </c>
      <c r="AK75" s="65">
        <v>0.61586700000000005</v>
      </c>
      <c r="AL75">
        <v>0</v>
      </c>
      <c r="AM75">
        <v>0</v>
      </c>
      <c r="AN75">
        <v>0.13790688261669709</v>
      </c>
      <c r="AO75">
        <v>2.2712217280211979E-3</v>
      </c>
      <c r="AP75">
        <v>0.25596760260243451</v>
      </c>
      <c r="AQ75">
        <v>6.9276557345890749E-2</v>
      </c>
      <c r="AR75">
        <v>2.18037285890035E-3</v>
      </c>
      <c r="AS75">
        <v>0.13310439317656109</v>
      </c>
      <c r="AT75">
        <v>0.57965124004408342</v>
      </c>
      <c r="AU75">
        <v>0</v>
      </c>
      <c r="AV75">
        <v>0</v>
      </c>
      <c r="AW75">
        <v>0.12950973743488209</v>
      </c>
      <c r="AY75">
        <f t="shared" si="13"/>
        <v>0</v>
      </c>
      <c r="AZ75">
        <f t="shared" si="14"/>
        <v>0</v>
      </c>
      <c r="BA75">
        <f t="shared" si="15"/>
        <v>13.790688261669709</v>
      </c>
      <c r="BB75">
        <f t="shared" si="16"/>
        <v>0.2271221728021198</v>
      </c>
      <c r="BC75">
        <f t="shared" si="17"/>
        <v>25.59676026024345</v>
      </c>
      <c r="BD75">
        <f t="shared" si="18"/>
        <v>6.9276557345890746</v>
      </c>
      <c r="BE75">
        <f t="shared" si="19"/>
        <v>0.21803728589003502</v>
      </c>
      <c r="BF75">
        <f t="shared" si="20"/>
        <v>13.310439317656108</v>
      </c>
      <c r="BG75">
        <f t="shared" si="21"/>
        <v>57.965124004408338</v>
      </c>
      <c r="BH75">
        <f t="shared" si="22"/>
        <v>0</v>
      </c>
      <c r="BI75">
        <f t="shared" si="23"/>
        <v>0</v>
      </c>
      <c r="BJ75">
        <f t="shared" si="24"/>
        <v>12.950973743488209</v>
      </c>
    </row>
    <row r="76" spans="1:62" ht="15.6" thickBot="1">
      <c r="A76" s="7" t="s">
        <v>162</v>
      </c>
      <c r="B76" s="9" t="s">
        <v>87</v>
      </c>
      <c r="C76" s="38" t="s">
        <v>51</v>
      </c>
      <c r="D76" s="35">
        <v>30.256410256410255</v>
      </c>
      <c r="E76" s="10">
        <v>23.8</v>
      </c>
      <c r="F76" s="10">
        <v>6.666666666666667</v>
      </c>
      <c r="G76" s="10">
        <v>63.076923076923073</v>
      </c>
      <c r="H76" s="11">
        <v>3.7581411290322579</v>
      </c>
      <c r="I76" s="12">
        <v>38.4</v>
      </c>
      <c r="J76" s="14">
        <v>8.3000000000000007</v>
      </c>
      <c r="K76" s="14">
        <v>91</v>
      </c>
      <c r="L76" s="15">
        <v>62</v>
      </c>
      <c r="M76" s="13">
        <v>54</v>
      </c>
      <c r="N76" s="15">
        <v>72</v>
      </c>
      <c r="O76" s="16">
        <v>20</v>
      </c>
      <c r="P76" s="15">
        <v>69</v>
      </c>
      <c r="Q76" s="15">
        <v>67</v>
      </c>
      <c r="R76" s="22">
        <v>54</v>
      </c>
      <c r="S76" s="10">
        <v>78</v>
      </c>
      <c r="T76" s="42">
        <v>80.491079061326602</v>
      </c>
      <c r="U76" s="65">
        <v>0.30759799999999998</v>
      </c>
      <c r="V76" s="65">
        <v>0.21970600000000001</v>
      </c>
      <c r="W76" s="65">
        <v>0.34197499999999997</v>
      </c>
      <c r="X76" s="65">
        <v>0.70007399999999997</v>
      </c>
      <c r="Y76" s="65">
        <v>0.92427400000000004</v>
      </c>
      <c r="Z76" s="65">
        <v>0.85250199999999998</v>
      </c>
      <c r="AA76" s="65">
        <v>0.42324400000000001</v>
      </c>
      <c r="AB76" s="65">
        <v>0.52221099999999998</v>
      </c>
      <c r="AC76" s="65">
        <v>0.47680800000000001</v>
      </c>
      <c r="AD76" s="65">
        <v>0.132048</v>
      </c>
      <c r="AE76" s="65">
        <v>0.38373699999999999</v>
      </c>
      <c r="AF76" s="65">
        <v>8.6247000000000004E-2</v>
      </c>
      <c r="AG76" s="65">
        <v>3.7721999999999999E-2</v>
      </c>
      <c r="AH76" s="65">
        <v>0.343775</v>
      </c>
      <c r="AI76" s="65">
        <v>0.91946499999999998</v>
      </c>
      <c r="AJ76" s="65">
        <v>0.584897</v>
      </c>
      <c r="AK76" s="65">
        <v>0.50099099999999996</v>
      </c>
      <c r="AL76">
        <v>9.3452953113318388E-3</v>
      </c>
      <c r="AM76">
        <v>0.2488203112865715</v>
      </c>
      <c r="AN76">
        <v>0.39316702819956612</v>
      </c>
      <c r="AO76">
        <v>8.544269998931967E-4</v>
      </c>
      <c r="AP76">
        <v>6.2205077821642869E-2</v>
      </c>
      <c r="AQ76">
        <v>1.9556405631804111E-2</v>
      </c>
      <c r="AR76">
        <v>1.264551959841931E-3</v>
      </c>
      <c r="AS76">
        <v>0.14556123795731901</v>
      </c>
      <c r="AT76">
        <v>0.3995995520412664</v>
      </c>
      <c r="AU76">
        <v>3.1328989996083881E-3</v>
      </c>
      <c r="AV76">
        <v>0.1557624153063531</v>
      </c>
      <c r="AW76">
        <v>0.128456870189258</v>
      </c>
      <c r="AY76">
        <f t="shared" si="13"/>
        <v>0.93452953113318382</v>
      </c>
      <c r="AZ76">
        <f t="shared" si="14"/>
        <v>24.88203112865715</v>
      </c>
      <c r="BA76">
        <f t="shared" si="15"/>
        <v>39.31670281995661</v>
      </c>
      <c r="BB76">
        <f t="shared" si="16"/>
        <v>8.5442699989319665E-2</v>
      </c>
      <c r="BC76">
        <f t="shared" si="17"/>
        <v>6.2205077821642867</v>
      </c>
      <c r="BD76">
        <f t="shared" si="18"/>
        <v>1.9556405631804112</v>
      </c>
      <c r="BE76">
        <f t="shared" si="19"/>
        <v>0.12645519598419311</v>
      </c>
      <c r="BF76">
        <f t="shared" si="20"/>
        <v>14.556123795731901</v>
      </c>
      <c r="BG76">
        <f t="shared" si="21"/>
        <v>39.959955204126643</v>
      </c>
      <c r="BH76">
        <f t="shared" si="22"/>
        <v>0.31328989996083884</v>
      </c>
      <c r="BI76">
        <f t="shared" si="23"/>
        <v>15.576241530635309</v>
      </c>
      <c r="BJ76">
        <f t="shared" si="24"/>
        <v>12.845687018925799</v>
      </c>
    </row>
    <row r="77" spans="1:62" ht="15.6" thickBot="1">
      <c r="A77" s="6" t="s">
        <v>163</v>
      </c>
      <c r="B77" s="17" t="s">
        <v>136</v>
      </c>
      <c r="C77" s="37" t="s">
        <v>98</v>
      </c>
      <c r="D77" s="35">
        <v>29.411764705882355</v>
      </c>
      <c r="E77" s="10">
        <v>50.2</v>
      </c>
      <c r="F77" s="10">
        <v>19.485294117647058</v>
      </c>
      <c r="G77" s="10">
        <v>51.102941176470587</v>
      </c>
      <c r="H77" s="11">
        <v>1.9191914634146343</v>
      </c>
      <c r="I77" s="12">
        <v>36.5</v>
      </c>
      <c r="J77" s="14">
        <v>8.1999999999999993</v>
      </c>
      <c r="K77" s="14">
        <v>99</v>
      </c>
      <c r="L77" s="15">
        <v>41</v>
      </c>
      <c r="M77" s="13">
        <v>67</v>
      </c>
      <c r="N77" s="15">
        <v>75</v>
      </c>
      <c r="O77" s="16">
        <v>28.000000000000004</v>
      </c>
      <c r="P77" s="15">
        <v>55.000000000000007</v>
      </c>
      <c r="Q77" s="15">
        <v>55.000000000000007</v>
      </c>
      <c r="R77" s="22">
        <v>60</v>
      </c>
      <c r="S77" s="10">
        <v>86</v>
      </c>
      <c r="T77" s="42">
        <v>63.857889835197</v>
      </c>
      <c r="U77" s="65">
        <v>9.1007000000000005E-2</v>
      </c>
      <c r="V77" s="65">
        <v>0.12792200000000001</v>
      </c>
      <c r="W77" s="65">
        <v>0.19952500000000001</v>
      </c>
      <c r="X77" s="65">
        <v>0.77693199999999996</v>
      </c>
      <c r="Y77" s="65">
        <v>0.93980699999999995</v>
      </c>
      <c r="Z77" s="65">
        <v>0.38711899999999999</v>
      </c>
      <c r="AA77" s="65">
        <v>0.19486300000000001</v>
      </c>
      <c r="AB77" s="65">
        <v>0.33684700000000001</v>
      </c>
      <c r="AC77" s="65">
        <v>0.26023200000000002</v>
      </c>
      <c r="AD77" s="65">
        <v>7.3893E-2</v>
      </c>
      <c r="AE77" s="65">
        <v>0.125612</v>
      </c>
      <c r="AF77" s="65">
        <v>2.4782999999999999E-2</v>
      </c>
      <c r="AG77" s="65">
        <v>5.8341999999999998E-2</v>
      </c>
      <c r="AH77" s="65">
        <v>0.17107700000000001</v>
      </c>
      <c r="AI77" s="65">
        <v>0.92015000000000002</v>
      </c>
      <c r="AJ77" s="65">
        <v>0.43171700000000002</v>
      </c>
      <c r="AK77" s="65">
        <v>0.402169</v>
      </c>
      <c r="AL77">
        <v>1.3819789939192931E-2</v>
      </c>
      <c r="AM77">
        <v>2.7038915130383791E-2</v>
      </c>
      <c r="AN77">
        <v>0.14858846782564369</v>
      </c>
      <c r="AO77">
        <v>1.3266998341625209E-2</v>
      </c>
      <c r="AP77">
        <v>5.4077830260767581E-2</v>
      </c>
      <c r="AQ77">
        <v>3.030181354483583E-2</v>
      </c>
      <c r="AR77">
        <v>9.5522388059701511E-3</v>
      </c>
      <c r="AS77">
        <v>6.3271650759548881E-2</v>
      </c>
      <c r="AT77">
        <v>0.27170698356852591</v>
      </c>
      <c r="AU77">
        <v>3.2430440390639401E-2</v>
      </c>
      <c r="AV77">
        <v>6.7705834884539365E-2</v>
      </c>
      <c r="AW77">
        <v>9.8205579355911635E-2</v>
      </c>
      <c r="AY77">
        <f t="shared" si="13"/>
        <v>1.381978993919293</v>
      </c>
      <c r="AZ77">
        <f t="shared" si="14"/>
        <v>2.7038915130383789</v>
      </c>
      <c r="BA77">
        <f t="shared" si="15"/>
        <v>14.858846782564369</v>
      </c>
      <c r="BB77">
        <f t="shared" si="16"/>
        <v>1.3266998341625209</v>
      </c>
      <c r="BC77">
        <f t="shared" si="17"/>
        <v>5.4077830260767579</v>
      </c>
      <c r="BD77">
        <f t="shared" si="18"/>
        <v>3.0301813544835832</v>
      </c>
      <c r="BE77">
        <f t="shared" si="19"/>
        <v>0.95522388059701513</v>
      </c>
      <c r="BF77">
        <f t="shared" si="20"/>
        <v>6.3271650759548876</v>
      </c>
      <c r="BG77">
        <f t="shared" si="21"/>
        <v>27.17069835685259</v>
      </c>
      <c r="BH77">
        <f t="shared" si="22"/>
        <v>3.2430440390639399</v>
      </c>
      <c r="BI77">
        <f t="shared" si="23"/>
        <v>6.7705834884539362</v>
      </c>
      <c r="BJ77">
        <f t="shared" si="24"/>
        <v>9.8205579355911627</v>
      </c>
    </row>
    <row r="78" spans="1:62" ht="15.6" thickBot="1">
      <c r="A78" s="7" t="s">
        <v>164</v>
      </c>
      <c r="B78" s="9" t="s">
        <v>158</v>
      </c>
      <c r="C78" s="38" t="s">
        <v>54</v>
      </c>
      <c r="D78" s="35">
        <v>35.483870967741936</v>
      </c>
      <c r="E78" s="10">
        <v>49.5</v>
      </c>
      <c r="F78" s="10">
        <v>17.419354838709676</v>
      </c>
      <c r="G78" s="10">
        <v>47.096774193548384</v>
      </c>
      <c r="H78" s="11">
        <v>1.5489744827586207</v>
      </c>
      <c r="I78" s="12">
        <v>41.2</v>
      </c>
      <c r="J78" s="14">
        <v>10.1</v>
      </c>
      <c r="K78" s="14">
        <v>98</v>
      </c>
      <c r="L78" s="15">
        <v>12</v>
      </c>
      <c r="M78" s="13">
        <v>80</v>
      </c>
      <c r="N78" s="15">
        <v>78</v>
      </c>
      <c r="O78" s="16">
        <v>27</v>
      </c>
      <c r="P78" s="15">
        <v>83</v>
      </c>
      <c r="Q78" s="15">
        <v>83</v>
      </c>
      <c r="R78" s="22">
        <v>62</v>
      </c>
      <c r="S78" s="10">
        <v>85</v>
      </c>
      <c r="T78" s="42">
        <v>75.916505557521305</v>
      </c>
      <c r="U78" s="65">
        <v>0.37986399999999998</v>
      </c>
      <c r="V78" s="65">
        <v>0.22207499999999999</v>
      </c>
      <c r="W78" s="65">
        <v>0.33976099999999998</v>
      </c>
      <c r="X78" s="65">
        <v>0.58861600000000003</v>
      </c>
      <c r="Y78" s="65">
        <v>0.862313</v>
      </c>
      <c r="Z78" s="65">
        <v>0.744008</v>
      </c>
      <c r="AA78" s="65">
        <v>0.53661199999999998</v>
      </c>
      <c r="AB78" s="65">
        <v>0.52194499999999999</v>
      </c>
      <c r="AC78" s="65">
        <v>0.58031299999999997</v>
      </c>
      <c r="AD78" s="65">
        <v>0.19478699999999999</v>
      </c>
      <c r="AE78" s="65">
        <v>0.555446</v>
      </c>
      <c r="AF78" s="65">
        <v>0.15864200000000001</v>
      </c>
      <c r="AG78" s="65">
        <v>1.5200999999999999E-2</v>
      </c>
      <c r="AH78" s="65">
        <v>0.54959199999999997</v>
      </c>
      <c r="AI78" s="65">
        <v>0.89585099999999995</v>
      </c>
      <c r="AJ78" s="65">
        <v>0.40010000000000001</v>
      </c>
      <c r="AK78" s="65">
        <v>0.64697899999999997</v>
      </c>
      <c r="AL78">
        <v>0</v>
      </c>
      <c r="AM78">
        <v>0</v>
      </c>
      <c r="AN78">
        <v>5.645978422194313E-2</v>
      </c>
      <c r="AO78">
        <v>2.8745957599712541E-3</v>
      </c>
      <c r="AP78">
        <v>0.20082697188492329</v>
      </c>
      <c r="AQ78">
        <v>9.1907133138791813E-2</v>
      </c>
      <c r="AR78">
        <v>1.1785842615882141E-3</v>
      </c>
      <c r="AS78">
        <v>0.313292994360859</v>
      </c>
      <c r="AT78">
        <v>0.54924509665584864</v>
      </c>
      <c r="AU78">
        <v>5.270092226613966E-3</v>
      </c>
      <c r="AV78">
        <v>0.50287364464277051</v>
      </c>
      <c r="AW78">
        <v>0.17761681691138839</v>
      </c>
      <c r="AY78">
        <f t="shared" si="13"/>
        <v>0</v>
      </c>
      <c r="AZ78">
        <f t="shared" si="14"/>
        <v>0</v>
      </c>
      <c r="BA78">
        <f t="shared" si="15"/>
        <v>5.6459784221943128</v>
      </c>
      <c r="BB78">
        <f t="shared" si="16"/>
        <v>0.2874595759971254</v>
      </c>
      <c r="BC78">
        <f t="shared" si="17"/>
        <v>20.082697188492329</v>
      </c>
      <c r="BD78">
        <f t="shared" si="18"/>
        <v>9.190713313879181</v>
      </c>
      <c r="BE78">
        <f t="shared" si="19"/>
        <v>0.1178584261588214</v>
      </c>
      <c r="BF78">
        <f t="shared" si="20"/>
        <v>31.329299436085901</v>
      </c>
      <c r="BG78">
        <f t="shared" si="21"/>
        <v>54.924509665584864</v>
      </c>
      <c r="BH78">
        <f t="shared" si="22"/>
        <v>0.5270092226613966</v>
      </c>
      <c r="BI78">
        <f t="shared" si="23"/>
        <v>50.287364464277054</v>
      </c>
      <c r="BJ78">
        <f t="shared" si="24"/>
        <v>17.76168169113884</v>
      </c>
    </row>
    <row r="79" spans="1:62" ht="15.6" thickBot="1">
      <c r="A79" s="6" t="s">
        <v>165</v>
      </c>
      <c r="B79" s="17" t="s">
        <v>72</v>
      </c>
      <c r="C79" s="37" t="s">
        <v>73</v>
      </c>
      <c r="D79" s="35">
        <v>17.20430107526882</v>
      </c>
      <c r="E79" s="10">
        <v>11.3</v>
      </c>
      <c r="F79" s="10">
        <v>16.129032258064516</v>
      </c>
      <c r="G79" s="10">
        <v>66.666666666666657</v>
      </c>
      <c r="H79" s="11">
        <v>0.53875349397590366</v>
      </c>
      <c r="I79" s="12">
        <v>38.799999999999997</v>
      </c>
      <c r="J79" s="14">
        <v>9.1</v>
      </c>
      <c r="K79" s="14">
        <v>92</v>
      </c>
      <c r="L79" s="15">
        <v>61</v>
      </c>
      <c r="M79" s="13">
        <v>55</v>
      </c>
      <c r="N79" s="15">
        <v>80</v>
      </c>
      <c r="O79" s="16">
        <v>42</v>
      </c>
      <c r="P79" s="15">
        <v>56.999999999999993</v>
      </c>
      <c r="Q79" s="15">
        <v>56.999999999999993</v>
      </c>
      <c r="R79" s="22">
        <v>32</v>
      </c>
      <c r="S79" s="10">
        <v>84</v>
      </c>
      <c r="T79" s="42">
        <v>76.898440072123094</v>
      </c>
      <c r="U79" s="65">
        <v>0.23005700000000001</v>
      </c>
      <c r="V79" s="65">
        <v>0.28218599999999999</v>
      </c>
      <c r="W79" s="65">
        <v>0.66517199999999999</v>
      </c>
      <c r="X79" s="65">
        <v>0.75656299999999999</v>
      </c>
      <c r="Y79" s="65">
        <v>0.97147300000000003</v>
      </c>
      <c r="Z79" s="65">
        <v>1</v>
      </c>
      <c r="AA79" s="65">
        <v>0.18127399999999999</v>
      </c>
      <c r="AB79" s="65">
        <v>0.71857700000000002</v>
      </c>
      <c r="AC79" s="65">
        <v>0.58484899999999995</v>
      </c>
      <c r="AD79" s="65">
        <v>0.117171</v>
      </c>
      <c r="AE79" s="65">
        <v>0.25464900000000001</v>
      </c>
      <c r="AF79" s="65">
        <v>3.3926999999999999E-2</v>
      </c>
      <c r="AG79" s="65">
        <v>0.141736</v>
      </c>
      <c r="AH79" s="65">
        <v>0.27471899999999999</v>
      </c>
      <c r="AI79" s="65">
        <v>0.98129</v>
      </c>
      <c r="AJ79" s="65">
        <v>0.60068900000000003</v>
      </c>
      <c r="AK79" s="65">
        <v>0.494056</v>
      </c>
      <c r="AL79">
        <v>1.0836584308625921E-3</v>
      </c>
      <c r="AM79">
        <v>0.16624721703259021</v>
      </c>
      <c r="AN79">
        <v>0.60172631959508294</v>
      </c>
      <c r="AO79">
        <v>3.4677069787602951E-3</v>
      </c>
      <c r="AP79">
        <v>0.49874165109777041</v>
      </c>
      <c r="AQ79">
        <v>0.51875707198189569</v>
      </c>
      <c r="AR79">
        <v>1.3870827915041181E-3</v>
      </c>
      <c r="AS79">
        <v>0.51869614862434588</v>
      </c>
      <c r="AT79">
        <v>1</v>
      </c>
      <c r="AU79">
        <v>0</v>
      </c>
      <c r="AV79">
        <v>0</v>
      </c>
      <c r="AW79">
        <v>0</v>
      </c>
      <c r="AY79">
        <f t="shared" si="13"/>
        <v>0.10836584308625921</v>
      </c>
      <c r="AZ79">
        <f t="shared" si="14"/>
        <v>16.62472170325902</v>
      </c>
      <c r="BA79">
        <f t="shared" si="15"/>
        <v>60.172631959508294</v>
      </c>
      <c r="BB79">
        <f t="shared" si="16"/>
        <v>0.34677069787602949</v>
      </c>
      <c r="BC79">
        <f t="shared" si="17"/>
        <v>49.874165109777039</v>
      </c>
      <c r="BD79">
        <f t="shared" si="18"/>
        <v>51.875707198189566</v>
      </c>
      <c r="BE79">
        <f t="shared" si="19"/>
        <v>0.13870827915041181</v>
      </c>
      <c r="BF79">
        <f t="shared" si="20"/>
        <v>51.869614862434588</v>
      </c>
      <c r="BG79">
        <f t="shared" si="21"/>
        <v>100</v>
      </c>
      <c r="BH79">
        <f t="shared" si="22"/>
        <v>0</v>
      </c>
      <c r="BI79">
        <f t="shared" si="23"/>
        <v>0</v>
      </c>
      <c r="BJ79">
        <f t="shared" si="24"/>
        <v>0</v>
      </c>
    </row>
    <row r="80" spans="1:62" ht="15.6" thickBot="1">
      <c r="A80" s="7" t="s">
        <v>166</v>
      </c>
      <c r="B80" s="9" t="s">
        <v>120</v>
      </c>
      <c r="C80" s="38" t="s">
        <v>108</v>
      </c>
      <c r="D80" s="35">
        <v>34.545454545454547</v>
      </c>
      <c r="E80" s="10">
        <v>34.799999999999997</v>
      </c>
      <c r="F80" s="10">
        <v>12.727272727272727</v>
      </c>
      <c r="G80" s="10">
        <v>52.72727272727272</v>
      </c>
      <c r="H80" s="11">
        <v>1.3581333333333334</v>
      </c>
      <c r="I80" s="12">
        <v>34.5</v>
      </c>
      <c r="J80" s="14">
        <v>10.199999999999999</v>
      </c>
      <c r="K80" s="14">
        <v>96</v>
      </c>
      <c r="L80" s="15">
        <v>38</v>
      </c>
      <c r="M80" s="13">
        <v>62</v>
      </c>
      <c r="N80" s="15">
        <v>78</v>
      </c>
      <c r="O80" s="16">
        <v>34</v>
      </c>
      <c r="P80" s="15">
        <v>64</v>
      </c>
      <c r="Q80" s="15">
        <v>70</v>
      </c>
      <c r="R80" s="22">
        <v>70</v>
      </c>
      <c r="S80" s="10">
        <v>84</v>
      </c>
      <c r="T80" s="42">
        <v>59.796973190285101</v>
      </c>
      <c r="U80" s="65">
        <v>0.26136399999999999</v>
      </c>
      <c r="V80" s="65">
        <v>0.152138</v>
      </c>
      <c r="W80" s="65">
        <v>0.35032799999999997</v>
      </c>
      <c r="X80" s="65">
        <v>0.66896599999999995</v>
      </c>
      <c r="Y80" s="65">
        <v>0.92178599999999999</v>
      </c>
      <c r="Z80" s="65">
        <v>0.90975300000000003</v>
      </c>
      <c r="AA80" s="65">
        <v>0.53769100000000003</v>
      </c>
      <c r="AB80" s="65">
        <v>0.527034</v>
      </c>
      <c r="AC80" s="65">
        <v>0.51046899999999995</v>
      </c>
      <c r="AD80" s="65">
        <v>0.13584099999999999</v>
      </c>
      <c r="AE80" s="65">
        <v>0.416186</v>
      </c>
      <c r="AF80" s="65">
        <v>8.9672000000000002E-2</v>
      </c>
      <c r="AG80" s="65">
        <v>6.9357000000000002E-2</v>
      </c>
      <c r="AH80" s="65">
        <v>0.390907</v>
      </c>
      <c r="AI80" s="65">
        <v>0.91857</v>
      </c>
      <c r="AJ80" s="65">
        <v>0.50535300000000005</v>
      </c>
      <c r="AK80" s="65">
        <v>0.57165500000000002</v>
      </c>
      <c r="AL80">
        <v>1.0924663520363569E-3</v>
      </c>
      <c r="AM80">
        <v>0.25109395348363861</v>
      </c>
      <c r="AN80">
        <v>0.31182212581344898</v>
      </c>
      <c r="AO80">
        <v>6.9917846530326863E-4</v>
      </c>
      <c r="AP80">
        <v>0.25109395348363861</v>
      </c>
      <c r="AQ80">
        <v>8.3083423670071765E-2</v>
      </c>
      <c r="AR80">
        <v>1.11868554448523E-4</v>
      </c>
      <c r="AS80">
        <v>0.19585510804263889</v>
      </c>
      <c r="AT80">
        <v>0.31440409456495239</v>
      </c>
      <c r="AU80">
        <v>5.1273087455573031E-3</v>
      </c>
      <c r="AV80">
        <v>0.62874289419865981</v>
      </c>
      <c r="AW80">
        <v>0.98927948142607836</v>
      </c>
      <c r="AY80">
        <f t="shared" si="13"/>
        <v>0.1092466352036357</v>
      </c>
      <c r="AZ80">
        <f t="shared" si="14"/>
        <v>25.109395348363861</v>
      </c>
      <c r="BA80">
        <f t="shared" si="15"/>
        <v>31.182212581344899</v>
      </c>
      <c r="BB80">
        <f t="shared" si="16"/>
        <v>6.9917846530326858E-2</v>
      </c>
      <c r="BC80">
        <f t="shared" si="17"/>
        <v>25.109395348363861</v>
      </c>
      <c r="BD80">
        <f t="shared" si="18"/>
        <v>8.3083423670071763</v>
      </c>
      <c r="BE80">
        <f t="shared" si="19"/>
        <v>1.11868554448523E-2</v>
      </c>
      <c r="BF80">
        <f t="shared" si="20"/>
        <v>19.58551080426389</v>
      </c>
      <c r="BG80">
        <f t="shared" si="21"/>
        <v>31.440409456495239</v>
      </c>
      <c r="BH80">
        <f t="shared" si="22"/>
        <v>0.5127308745557303</v>
      </c>
      <c r="BI80">
        <f t="shared" si="23"/>
        <v>62.874289419865981</v>
      </c>
      <c r="BJ80">
        <f t="shared" si="24"/>
        <v>98.927948142607832</v>
      </c>
    </row>
    <row r="81" spans="1:62" ht="15.6" thickBot="1">
      <c r="A81" s="6" t="s">
        <v>167</v>
      </c>
      <c r="B81" s="17" t="s">
        <v>53</v>
      </c>
      <c r="C81" s="37" t="s">
        <v>54</v>
      </c>
      <c r="D81" s="35">
        <v>35.483870967741936</v>
      </c>
      <c r="E81" s="10">
        <v>49.5</v>
      </c>
      <c r="F81" s="10">
        <v>17.419354838709676</v>
      </c>
      <c r="G81" s="10">
        <v>47.096774193548384</v>
      </c>
      <c r="H81" s="11">
        <v>0.20578822335025382</v>
      </c>
      <c r="I81" s="12">
        <v>37.299999999999997</v>
      </c>
      <c r="J81" s="14">
        <v>11</v>
      </c>
      <c r="K81" s="14">
        <v>97</v>
      </c>
      <c r="L81" s="15">
        <v>38</v>
      </c>
      <c r="M81" s="15">
        <v>67</v>
      </c>
      <c r="N81" s="15">
        <v>84</v>
      </c>
      <c r="O81" s="16">
        <v>31</v>
      </c>
      <c r="P81" s="15">
        <v>74</v>
      </c>
      <c r="Q81" s="15">
        <v>78</v>
      </c>
      <c r="R81" s="22">
        <v>62</v>
      </c>
      <c r="S81" s="10">
        <v>79</v>
      </c>
      <c r="T81" s="42">
        <v>70.763992477060398</v>
      </c>
      <c r="U81" s="65">
        <v>0.594885</v>
      </c>
      <c r="V81" s="65">
        <v>0.50059200000000004</v>
      </c>
      <c r="W81" s="65">
        <v>0.52259599999999995</v>
      </c>
      <c r="X81" s="65">
        <v>0.87416700000000003</v>
      </c>
      <c r="Y81" s="65">
        <v>0.94708499999999995</v>
      </c>
      <c r="Z81" s="65">
        <v>0.65705899999999995</v>
      </c>
      <c r="AA81" s="65">
        <v>0.74077899999999997</v>
      </c>
      <c r="AB81" s="65">
        <v>0.52572600000000003</v>
      </c>
      <c r="AC81" s="65">
        <v>0.31682199999999999</v>
      </c>
      <c r="AD81" s="65">
        <v>0.109669</v>
      </c>
      <c r="AE81" s="65">
        <v>0.27843200000000001</v>
      </c>
      <c r="AF81" s="65">
        <v>8.0862000000000003E-2</v>
      </c>
      <c r="AG81" s="65">
        <v>0</v>
      </c>
      <c r="AH81" s="65">
        <v>0.57438500000000003</v>
      </c>
      <c r="AI81" s="65">
        <v>0.85992400000000002</v>
      </c>
      <c r="AJ81" s="65">
        <v>0.51305800000000001</v>
      </c>
      <c r="AK81" s="65">
        <v>0.56044799999999995</v>
      </c>
      <c r="AL81">
        <v>2.5308766956873862E-3</v>
      </c>
      <c r="AM81">
        <v>0.32429227029123681</v>
      </c>
      <c r="AN81">
        <v>0.27657266811279818</v>
      </c>
      <c r="AO81">
        <v>0</v>
      </c>
      <c r="AP81">
        <v>0</v>
      </c>
      <c r="AQ81">
        <v>7.4745408651753845E-2</v>
      </c>
      <c r="AR81">
        <v>6.4790443409597093E-5</v>
      </c>
      <c r="AS81">
        <v>0.25295032697560149</v>
      </c>
      <c r="AT81">
        <v>0.1447721179624665</v>
      </c>
      <c r="AU81">
        <v>2.9695619896065329E-3</v>
      </c>
      <c r="AV81">
        <v>0.81203253905694828</v>
      </c>
      <c r="AW81">
        <v>0.1866866118175019</v>
      </c>
      <c r="AY81">
        <f t="shared" si="13"/>
        <v>0.25308766956873863</v>
      </c>
      <c r="AZ81">
        <f t="shared" si="14"/>
        <v>32.42922702912368</v>
      </c>
      <c r="BA81">
        <f t="shared" si="15"/>
        <v>27.657266811279818</v>
      </c>
      <c r="BB81">
        <f t="shared" si="16"/>
        <v>0</v>
      </c>
      <c r="BC81">
        <f t="shared" si="17"/>
        <v>0</v>
      </c>
      <c r="BD81">
        <f t="shared" si="18"/>
        <v>7.4745408651753849</v>
      </c>
      <c r="BE81">
        <f t="shared" si="19"/>
        <v>6.479044340959709E-3</v>
      </c>
      <c r="BF81">
        <f t="shared" si="20"/>
        <v>25.295032697560149</v>
      </c>
      <c r="BG81">
        <f t="shared" si="21"/>
        <v>14.47721179624665</v>
      </c>
      <c r="BH81">
        <f t="shared" si="22"/>
        <v>0.29695619896065328</v>
      </c>
      <c r="BI81">
        <f t="shared" si="23"/>
        <v>81.203253905694822</v>
      </c>
      <c r="BJ81">
        <f t="shared" si="24"/>
        <v>18.668661181750188</v>
      </c>
    </row>
    <row r="82" spans="1:62" ht="15.6" thickBot="1">
      <c r="A82" s="7" t="s">
        <v>168</v>
      </c>
      <c r="B82" s="9" t="s">
        <v>169</v>
      </c>
      <c r="C82" s="38" t="s">
        <v>134</v>
      </c>
      <c r="D82" s="35">
        <v>43.640897755610972</v>
      </c>
      <c r="E82" s="10">
        <v>96</v>
      </c>
      <c r="F82" s="10">
        <v>13.96508728179551</v>
      </c>
      <c r="G82" s="10">
        <v>42.394014962593516</v>
      </c>
      <c r="H82" s="11">
        <v>4.6263390697674414</v>
      </c>
      <c r="I82" s="12">
        <v>32.4</v>
      </c>
      <c r="J82" s="14">
        <v>9.5</v>
      </c>
      <c r="K82" s="14">
        <v>87</v>
      </c>
      <c r="L82" s="15">
        <v>76</v>
      </c>
      <c r="M82" s="13">
        <v>46</v>
      </c>
      <c r="N82" s="15">
        <v>68</v>
      </c>
      <c r="O82" s="16">
        <v>34</v>
      </c>
      <c r="P82" s="15">
        <v>67</v>
      </c>
      <c r="Q82" s="15">
        <v>54</v>
      </c>
      <c r="R82" s="22">
        <v>56.000000000000007</v>
      </c>
      <c r="S82" s="10">
        <v>72</v>
      </c>
      <c r="T82" s="42">
        <v>75.487368121443041</v>
      </c>
      <c r="U82" s="65">
        <v>0.26768700000000001</v>
      </c>
      <c r="V82" s="65">
        <v>0.29461199999999999</v>
      </c>
      <c r="W82" s="65">
        <v>0.41373399999999999</v>
      </c>
      <c r="X82" s="65">
        <v>0.82341399999999998</v>
      </c>
      <c r="Y82" s="65">
        <v>0.92813500000000004</v>
      </c>
      <c r="Z82" s="65">
        <v>6.764E-3</v>
      </c>
      <c r="AA82" s="65">
        <v>0.14033799999999999</v>
      </c>
      <c r="AB82" s="65">
        <v>0.49813000000000002</v>
      </c>
      <c r="AC82" s="65">
        <v>0.34507599999999999</v>
      </c>
      <c r="AD82" s="65">
        <v>0.122085</v>
      </c>
      <c r="AE82" s="65">
        <v>0.43926599999999999</v>
      </c>
      <c r="AF82" s="65">
        <v>0.13300100000000001</v>
      </c>
      <c r="AG82" s="65">
        <v>0</v>
      </c>
      <c r="AH82" s="65">
        <v>0.36721799999999999</v>
      </c>
      <c r="AI82" s="65">
        <v>0.92019099999999998</v>
      </c>
      <c r="AJ82" s="65">
        <v>0.510073</v>
      </c>
      <c r="AK82" s="65">
        <v>0.63376500000000002</v>
      </c>
      <c r="AL82">
        <v>4.1824670979254963E-3</v>
      </c>
      <c r="AM82">
        <v>0.1243964910987235</v>
      </c>
      <c r="AN82">
        <v>0.28876132551213279</v>
      </c>
      <c r="AO82">
        <v>8.9225964755743927E-4</v>
      </c>
      <c r="AP82">
        <v>6.2198245549361743E-2</v>
      </c>
      <c r="AQ82">
        <v>3.0729799145219009E-2</v>
      </c>
      <c r="AR82">
        <v>8.9225964755743938E-4</v>
      </c>
      <c r="AS82">
        <v>9.7030166860840858E-2</v>
      </c>
      <c r="AT82">
        <v>0.21529615613389311</v>
      </c>
      <c r="AU82">
        <v>0</v>
      </c>
      <c r="AV82">
        <v>0</v>
      </c>
      <c r="AW82">
        <v>1.66230967732626E-2</v>
      </c>
      <c r="AY82">
        <f t="shared" si="13"/>
        <v>0.41824670979254963</v>
      </c>
      <c r="AZ82">
        <f t="shared" si="14"/>
        <v>12.439649109872351</v>
      </c>
      <c r="BA82">
        <f t="shared" si="15"/>
        <v>28.876132551213278</v>
      </c>
      <c r="BB82">
        <f t="shared" si="16"/>
        <v>8.9225964755743931E-2</v>
      </c>
      <c r="BC82">
        <f t="shared" si="17"/>
        <v>6.2198245549361744</v>
      </c>
      <c r="BD82">
        <f t="shared" si="18"/>
        <v>3.072979914521901</v>
      </c>
      <c r="BE82">
        <f t="shared" si="19"/>
        <v>8.9225964755743931E-2</v>
      </c>
      <c r="BF82">
        <f t="shared" si="20"/>
        <v>9.7030166860840854</v>
      </c>
      <c r="BG82">
        <f t="shared" si="21"/>
        <v>21.529615613389311</v>
      </c>
      <c r="BH82">
        <f t="shared" si="22"/>
        <v>0</v>
      </c>
      <c r="BI82">
        <f t="shared" si="23"/>
        <v>0</v>
      </c>
      <c r="BJ82">
        <f t="shared" si="24"/>
        <v>1.66230967732626</v>
      </c>
    </row>
    <row r="83" spans="1:62" ht="15.6" thickBot="1">
      <c r="A83" s="6" t="s">
        <v>170</v>
      </c>
      <c r="B83" s="17" t="s">
        <v>66</v>
      </c>
      <c r="C83" s="37" t="s">
        <v>63</v>
      </c>
      <c r="D83" s="35">
        <v>40.963855421686745</v>
      </c>
      <c r="E83" s="10">
        <v>95.5</v>
      </c>
      <c r="F83" s="10">
        <v>16.265060240963855</v>
      </c>
      <c r="G83" s="10">
        <v>42.771084337349393</v>
      </c>
      <c r="H83" s="11">
        <v>4.6941234513274335</v>
      </c>
      <c r="I83" s="12">
        <v>41.7</v>
      </c>
      <c r="J83" s="14">
        <v>8.3000000000000007</v>
      </c>
      <c r="K83" s="14">
        <v>95</v>
      </c>
      <c r="L83" s="15">
        <v>44</v>
      </c>
      <c r="M83" s="13">
        <v>63</v>
      </c>
      <c r="N83" s="15">
        <v>76</v>
      </c>
      <c r="O83" s="16">
        <v>33</v>
      </c>
      <c r="P83" s="15">
        <v>76</v>
      </c>
      <c r="Q83" s="15">
        <v>78</v>
      </c>
      <c r="R83" s="22">
        <v>74</v>
      </c>
      <c r="S83" s="10">
        <v>95</v>
      </c>
      <c r="T83" s="42">
        <v>66.003806176199205</v>
      </c>
      <c r="U83" s="65">
        <v>0.314911</v>
      </c>
      <c r="V83" s="65">
        <v>0.26214700000000002</v>
      </c>
      <c r="W83" s="65">
        <v>0.35025099999999998</v>
      </c>
      <c r="X83" s="65">
        <v>0.77649800000000002</v>
      </c>
      <c r="Y83" s="65">
        <v>0.92225699999999999</v>
      </c>
      <c r="Z83" s="65">
        <v>0.97319999999999995</v>
      </c>
      <c r="AA83" s="65">
        <v>6.8673999999999999E-2</v>
      </c>
      <c r="AB83" s="65">
        <v>0.38052000000000002</v>
      </c>
      <c r="AC83" s="65">
        <v>0.29469000000000001</v>
      </c>
      <c r="AD83" s="65">
        <v>9.6912999999999999E-2</v>
      </c>
      <c r="AE83" s="65">
        <v>0.303846</v>
      </c>
      <c r="AF83" s="65">
        <v>8.3464999999999998E-2</v>
      </c>
      <c r="AG83" s="65">
        <v>0</v>
      </c>
      <c r="AH83" s="65">
        <v>0.33555499999999999</v>
      </c>
      <c r="AI83" s="65">
        <v>0.97816899999999996</v>
      </c>
      <c r="AJ83" s="65">
        <v>0.58560100000000004</v>
      </c>
      <c r="AK83" s="65">
        <v>0.21143000000000001</v>
      </c>
      <c r="AL83">
        <v>0</v>
      </c>
      <c r="AM83">
        <v>0</v>
      </c>
      <c r="AN83">
        <v>1.3036042049057231E-4</v>
      </c>
      <c r="AO83">
        <v>7.6125225996764682E-4</v>
      </c>
      <c r="AP83">
        <v>4.963315745681917E-2</v>
      </c>
      <c r="AQ83">
        <v>6.9464437555655243E-3</v>
      </c>
      <c r="AR83">
        <v>1.2180036159482349E-4</v>
      </c>
      <c r="AS83">
        <v>0.1161426702794265</v>
      </c>
      <c r="AT83">
        <v>5.2974840173231577E-2</v>
      </c>
      <c r="AU83">
        <v>1.116503314619215E-2</v>
      </c>
      <c r="AV83">
        <v>0.2485642894594968</v>
      </c>
      <c r="AW83">
        <v>0.35471683639222917</v>
      </c>
      <c r="AY83">
        <f t="shared" si="13"/>
        <v>0</v>
      </c>
      <c r="AZ83">
        <f t="shared" si="14"/>
        <v>0</v>
      </c>
      <c r="BA83">
        <f t="shared" si="15"/>
        <v>1.3036042049057232E-2</v>
      </c>
      <c r="BB83">
        <f t="shared" si="16"/>
        <v>7.6125225996764689E-2</v>
      </c>
      <c r="BC83">
        <f t="shared" si="17"/>
        <v>4.9633157456819168</v>
      </c>
      <c r="BD83">
        <f t="shared" si="18"/>
        <v>0.69464437555655245</v>
      </c>
      <c r="BE83">
        <f t="shared" si="19"/>
        <v>1.2180036159482349E-2</v>
      </c>
      <c r="BF83">
        <f t="shared" si="20"/>
        <v>11.614267027942651</v>
      </c>
      <c r="BG83">
        <f t="shared" si="21"/>
        <v>5.2974840173231579</v>
      </c>
      <c r="BH83">
        <f t="shared" si="22"/>
        <v>1.1165033146192149</v>
      </c>
      <c r="BI83">
        <f t="shared" si="23"/>
        <v>24.856428945949681</v>
      </c>
      <c r="BJ83">
        <f t="shared" si="24"/>
        <v>35.471683639222917</v>
      </c>
    </row>
    <row r="84" spans="1:62" ht="15.6" thickBot="1">
      <c r="A84" s="7" t="s">
        <v>171</v>
      </c>
      <c r="B84" s="9" t="s">
        <v>66</v>
      </c>
      <c r="C84" s="38" t="s">
        <v>63</v>
      </c>
      <c r="D84" s="35">
        <v>40.963855421686745</v>
      </c>
      <c r="E84" s="10">
        <v>95.5</v>
      </c>
      <c r="F84" s="10">
        <v>16.265060240963855</v>
      </c>
      <c r="G84" s="10">
        <v>42.771084337349393</v>
      </c>
      <c r="H84" s="11">
        <v>12.728987586206896</v>
      </c>
      <c r="I84" s="12">
        <v>52.3</v>
      </c>
      <c r="J84" s="14">
        <v>4.9000000000000004</v>
      </c>
      <c r="K84" s="14">
        <v>95</v>
      </c>
      <c r="L84" s="15">
        <v>44</v>
      </c>
      <c r="M84" s="13">
        <v>63</v>
      </c>
      <c r="N84" s="15">
        <v>76</v>
      </c>
      <c r="O84" s="16">
        <v>33</v>
      </c>
      <c r="P84" s="15">
        <v>76</v>
      </c>
      <c r="Q84" s="15">
        <v>78</v>
      </c>
      <c r="R84" s="22">
        <v>74</v>
      </c>
      <c r="S84" s="10">
        <v>95</v>
      </c>
      <c r="T84" s="42">
        <v>66.808312618509802</v>
      </c>
      <c r="U84" s="65">
        <v>0.24807899999999999</v>
      </c>
      <c r="V84" s="65">
        <v>0.20741499999999999</v>
      </c>
      <c r="W84" s="65">
        <v>0.24277299999999999</v>
      </c>
      <c r="X84" s="65">
        <v>0.806925</v>
      </c>
      <c r="Y84" s="65">
        <v>0.88636199999999998</v>
      </c>
      <c r="Z84" s="65">
        <v>1</v>
      </c>
      <c r="AA84" s="65">
        <v>8.0829999999999999E-3</v>
      </c>
      <c r="AB84" s="65">
        <v>0.45066299999999998</v>
      </c>
      <c r="AC84" s="65">
        <v>0.32511000000000001</v>
      </c>
      <c r="AD84" s="65">
        <v>0.14679700000000001</v>
      </c>
      <c r="AE84" s="65">
        <v>0.340059</v>
      </c>
      <c r="AF84" s="65">
        <v>0.135131</v>
      </c>
      <c r="AG84" s="65">
        <v>1.8690999999999999E-2</v>
      </c>
      <c r="AH84" s="65">
        <v>0.29268300000000003</v>
      </c>
      <c r="AI84" s="65">
        <v>1</v>
      </c>
      <c r="AJ84" s="65">
        <v>0.45776899999999998</v>
      </c>
      <c r="AK84" s="65">
        <v>0.29920400000000003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7.2332224801803665E-4</v>
      </c>
      <c r="AR84">
        <v>8.0200501253132835E-4</v>
      </c>
      <c r="AS84">
        <v>2.5389796289894701E-2</v>
      </c>
      <c r="AT84">
        <v>2.5064424854997651E-2</v>
      </c>
      <c r="AU84">
        <v>4.901141743247006E-3</v>
      </c>
      <c r="AV84">
        <v>8.1507468260400937E-2</v>
      </c>
      <c r="AW84">
        <v>4.9857352115477441E-2</v>
      </c>
      <c r="AY84">
        <f t="shared" si="13"/>
        <v>0</v>
      </c>
      <c r="AZ84">
        <f t="shared" si="14"/>
        <v>0</v>
      </c>
      <c r="BA84">
        <f t="shared" si="15"/>
        <v>0</v>
      </c>
      <c r="BB84">
        <f t="shared" si="16"/>
        <v>0</v>
      </c>
      <c r="BC84">
        <f t="shared" si="17"/>
        <v>0</v>
      </c>
      <c r="BD84">
        <f t="shared" si="18"/>
        <v>7.2332224801803666E-2</v>
      </c>
      <c r="BE84">
        <f t="shared" si="19"/>
        <v>8.0200501253132842E-2</v>
      </c>
      <c r="BF84">
        <f t="shared" si="20"/>
        <v>2.5389796289894702</v>
      </c>
      <c r="BG84">
        <f t="shared" si="21"/>
        <v>2.5064424854997651</v>
      </c>
      <c r="BH84">
        <f t="shared" si="22"/>
        <v>0.49011417432470061</v>
      </c>
      <c r="BI84">
        <f t="shared" si="23"/>
        <v>8.150746826040093</v>
      </c>
      <c r="BJ84">
        <f t="shared" si="24"/>
        <v>4.9857352115477438</v>
      </c>
    </row>
    <row r="85" spans="1:62" ht="15.6" thickBot="1">
      <c r="A85" s="6" t="s">
        <v>172</v>
      </c>
      <c r="B85" s="17" t="s">
        <v>173</v>
      </c>
      <c r="C85" s="37" t="s">
        <v>134</v>
      </c>
      <c r="D85" s="35">
        <v>43.640897755610972</v>
      </c>
      <c r="E85" s="10">
        <v>96</v>
      </c>
      <c r="F85" s="10">
        <v>13.96508728179551</v>
      </c>
      <c r="G85" s="10">
        <v>42.394014962593516</v>
      </c>
      <c r="H85" s="11">
        <v>4.0921147826086957</v>
      </c>
      <c r="I85" s="12">
        <v>34.6</v>
      </c>
      <c r="J85" s="14">
        <v>13.8</v>
      </c>
      <c r="K85" s="14">
        <v>89</v>
      </c>
      <c r="L85" s="15">
        <v>74</v>
      </c>
      <c r="M85" s="13">
        <v>44</v>
      </c>
      <c r="N85" s="15">
        <v>65</v>
      </c>
      <c r="O85" s="16">
        <v>19</v>
      </c>
      <c r="P85" s="15">
        <v>83</v>
      </c>
      <c r="Q85" s="15">
        <v>76</v>
      </c>
      <c r="R85" s="22">
        <v>56.000000000000007</v>
      </c>
      <c r="S85" s="10">
        <v>69</v>
      </c>
      <c r="T85" s="42">
        <v>88.210835877168108</v>
      </c>
      <c r="U85" s="65">
        <v>0.26767999999999997</v>
      </c>
      <c r="V85" s="65">
        <v>0.20175399999999999</v>
      </c>
      <c r="W85" s="65">
        <v>0.33893499999999999</v>
      </c>
      <c r="X85" s="65">
        <v>0.72015300000000004</v>
      </c>
      <c r="Y85" s="65">
        <v>0.90951400000000004</v>
      </c>
      <c r="Z85" s="65">
        <v>0.71322600000000003</v>
      </c>
      <c r="AA85" s="65">
        <v>3.7921999999999997E-2</v>
      </c>
      <c r="AB85" s="65">
        <v>0.46029199999999998</v>
      </c>
      <c r="AC85" s="65">
        <v>0.40348200000000001</v>
      </c>
      <c r="AD85" s="65">
        <v>0.12925600000000001</v>
      </c>
      <c r="AE85" s="65">
        <v>0.456044</v>
      </c>
      <c r="AF85" s="65">
        <v>0.12330199999999999</v>
      </c>
      <c r="AG85" s="65">
        <v>0</v>
      </c>
      <c r="AH85" s="65">
        <v>0.45986900000000003</v>
      </c>
      <c r="AI85" s="65">
        <v>0.86562799999999995</v>
      </c>
      <c r="AJ85" s="65">
        <v>0.53664599999999996</v>
      </c>
      <c r="AK85" s="65">
        <v>0.55959099999999995</v>
      </c>
      <c r="AL85">
        <v>0</v>
      </c>
      <c r="AM85">
        <v>0</v>
      </c>
      <c r="AN85">
        <v>0.1045105158917287</v>
      </c>
      <c r="AO85">
        <v>9.018149024912636E-4</v>
      </c>
      <c r="AP85">
        <v>5.9361293091491081E-2</v>
      </c>
      <c r="AQ85">
        <v>1.305596657672556E-2</v>
      </c>
      <c r="AR85">
        <v>1.4429038439860221E-4</v>
      </c>
      <c r="AS85">
        <v>9.2604479802754908E-2</v>
      </c>
      <c r="AT85">
        <v>3.3570346194195133E-2</v>
      </c>
      <c r="AU85">
        <v>3.306654642467966E-3</v>
      </c>
      <c r="AV85">
        <v>0.14864153717724229</v>
      </c>
      <c r="AW85">
        <v>5.9939514162141071E-2</v>
      </c>
      <c r="AY85">
        <f t="shared" si="13"/>
        <v>0</v>
      </c>
      <c r="AZ85">
        <f t="shared" si="14"/>
        <v>0</v>
      </c>
      <c r="BA85">
        <f t="shared" si="15"/>
        <v>10.45105158917287</v>
      </c>
      <c r="BB85">
        <f t="shared" si="16"/>
        <v>9.0181490249126361E-2</v>
      </c>
      <c r="BC85">
        <f t="shared" si="17"/>
        <v>5.9361293091491083</v>
      </c>
      <c r="BD85">
        <f t="shared" si="18"/>
        <v>1.3055966576725559</v>
      </c>
      <c r="BE85">
        <f t="shared" si="19"/>
        <v>1.4429038439860221E-2</v>
      </c>
      <c r="BF85">
        <f t="shared" si="20"/>
        <v>9.2604479802754902</v>
      </c>
      <c r="BG85">
        <f t="shared" si="21"/>
        <v>3.3570346194195135</v>
      </c>
      <c r="BH85">
        <f t="shared" si="22"/>
        <v>0.3306654642467966</v>
      </c>
      <c r="BI85">
        <f t="shared" si="23"/>
        <v>14.86415371772423</v>
      </c>
      <c r="BJ85">
        <f t="shared" si="24"/>
        <v>5.9939514162141068</v>
      </c>
    </row>
    <row r="86" spans="1:62" ht="15.6" thickBot="1">
      <c r="A86" s="7" t="s">
        <v>174</v>
      </c>
      <c r="B86" s="9" t="s">
        <v>68</v>
      </c>
      <c r="C86" s="38" t="s">
        <v>69</v>
      </c>
      <c r="D86" s="35">
        <v>46.017699115044245</v>
      </c>
      <c r="E86" s="10">
        <v>65.599999999999994</v>
      </c>
      <c r="F86" s="10">
        <v>10.619469026548673</v>
      </c>
      <c r="G86" s="10">
        <v>43.362831858407077</v>
      </c>
      <c r="H86" s="11">
        <v>1.8091552238805972</v>
      </c>
      <c r="I86" s="12">
        <v>28.6</v>
      </c>
      <c r="J86" s="14">
        <v>7.5</v>
      </c>
      <c r="K86" s="14">
        <v>97</v>
      </c>
      <c r="L86" s="15">
        <v>33</v>
      </c>
      <c r="M86" s="13">
        <v>70</v>
      </c>
      <c r="N86" s="15">
        <v>80</v>
      </c>
      <c r="O86" s="16">
        <v>37</v>
      </c>
      <c r="P86" s="15">
        <v>72</v>
      </c>
      <c r="Q86" s="15">
        <v>62</v>
      </c>
      <c r="R86" s="22">
        <v>70</v>
      </c>
      <c r="S86" s="10">
        <v>71</v>
      </c>
      <c r="T86" s="42">
        <v>78.714836919650807</v>
      </c>
      <c r="U86" s="65">
        <v>0.31668000000000002</v>
      </c>
      <c r="V86" s="65">
        <v>0.370699</v>
      </c>
      <c r="W86" s="65">
        <v>0.66699399999999998</v>
      </c>
      <c r="X86" s="65">
        <v>0.81844700000000004</v>
      </c>
      <c r="Y86" s="65">
        <v>0.95282500000000003</v>
      </c>
      <c r="Z86" s="65">
        <v>0.80172100000000002</v>
      </c>
      <c r="AA86" s="65">
        <v>0.24824299999999999</v>
      </c>
      <c r="AB86" s="65">
        <v>0.48011799999999999</v>
      </c>
      <c r="AC86" s="65">
        <v>0.33671800000000002</v>
      </c>
      <c r="AD86" s="65">
        <v>9.4515000000000002E-2</v>
      </c>
      <c r="AE86" s="65">
        <v>0.244591</v>
      </c>
      <c r="AF86" s="65">
        <v>5.3672999999999998E-2</v>
      </c>
      <c r="AG86" s="65">
        <v>0.156947</v>
      </c>
      <c r="AH86" s="65">
        <v>0.38598900000000003</v>
      </c>
      <c r="AI86" s="65">
        <v>0.911609</v>
      </c>
      <c r="AJ86" s="65">
        <v>0.62376500000000001</v>
      </c>
      <c r="AK86" s="65">
        <v>0.52351499999999995</v>
      </c>
      <c r="AL86">
        <v>3.5030359645025688E-3</v>
      </c>
      <c r="AM86">
        <v>0.23871780378140789</v>
      </c>
      <c r="AN86">
        <v>0.36966266998181951</v>
      </c>
      <c r="AO86">
        <v>3.7365716954694071E-3</v>
      </c>
      <c r="AP86">
        <v>0.15914520252093861</v>
      </c>
      <c r="AQ86">
        <v>8.0176588481614949E-2</v>
      </c>
      <c r="AR86">
        <v>3.407753386268099E-3</v>
      </c>
      <c r="AS86">
        <v>0.31033603559311818</v>
      </c>
      <c r="AT86">
        <v>0.97806228519029226</v>
      </c>
      <c r="AU86">
        <v>5.4803051533551294E-3</v>
      </c>
      <c r="AV86">
        <v>0.39850189079669279</v>
      </c>
      <c r="AW86">
        <v>0.24196644605923789</v>
      </c>
      <c r="AY86">
        <f t="shared" si="13"/>
        <v>0.35030359645025688</v>
      </c>
      <c r="AZ86">
        <f t="shared" si="14"/>
        <v>23.871780378140787</v>
      </c>
      <c r="BA86">
        <f t="shared" si="15"/>
        <v>36.96626699818195</v>
      </c>
      <c r="BB86">
        <f t="shared" si="16"/>
        <v>0.37365716954694073</v>
      </c>
      <c r="BC86">
        <f t="shared" si="17"/>
        <v>15.914520252093862</v>
      </c>
      <c r="BD86">
        <f t="shared" si="18"/>
        <v>8.0176588481614957</v>
      </c>
      <c r="BE86">
        <f t="shared" si="19"/>
        <v>0.34077533862680992</v>
      </c>
      <c r="BF86">
        <f t="shared" si="20"/>
        <v>31.033603559311818</v>
      </c>
      <c r="BG86">
        <f t="shared" si="21"/>
        <v>97.806228519029219</v>
      </c>
      <c r="BH86">
        <f t="shared" si="22"/>
        <v>0.54803051533551295</v>
      </c>
      <c r="BI86">
        <f t="shared" si="23"/>
        <v>39.850189079669278</v>
      </c>
      <c r="BJ86">
        <f t="shared" si="24"/>
        <v>24.19664460592379</v>
      </c>
    </row>
    <row r="87" spans="1:62" ht="15.6" thickBot="1">
      <c r="A87" s="6" t="s">
        <v>175</v>
      </c>
      <c r="B87" s="17" t="s">
        <v>176</v>
      </c>
      <c r="C87" s="37" t="s">
        <v>57</v>
      </c>
      <c r="D87" s="35">
        <v>28.15126050420168</v>
      </c>
      <c r="E87" s="10">
        <v>29.6</v>
      </c>
      <c r="F87" s="10">
        <v>10.504201680672269</v>
      </c>
      <c r="G87" s="10">
        <v>61.344537815126053</v>
      </c>
      <c r="H87" s="11">
        <v>26.040016129032256</v>
      </c>
      <c r="I87" s="12">
        <v>32.5</v>
      </c>
      <c r="J87" s="14">
        <v>11.7</v>
      </c>
      <c r="K87" s="14">
        <v>94</v>
      </c>
      <c r="L87" s="15">
        <v>56.999999999999993</v>
      </c>
      <c r="M87" s="13">
        <v>60</v>
      </c>
      <c r="N87" s="15">
        <v>69</v>
      </c>
      <c r="O87" s="16">
        <v>19</v>
      </c>
      <c r="P87" s="15">
        <v>60</v>
      </c>
      <c r="Q87" s="15">
        <v>62</v>
      </c>
      <c r="R87" s="22">
        <v>49</v>
      </c>
      <c r="S87" s="10">
        <v>77</v>
      </c>
      <c r="T87" s="42">
        <v>59.931062835250849</v>
      </c>
      <c r="U87" s="65">
        <v>0.27647100000000002</v>
      </c>
      <c r="V87" s="65">
        <v>0.29930499999999999</v>
      </c>
      <c r="W87" s="65">
        <v>0.40998699999999999</v>
      </c>
      <c r="X87" s="65">
        <v>0.84433800000000003</v>
      </c>
      <c r="Y87" s="65">
        <v>0.92222199999999999</v>
      </c>
      <c r="Z87" s="65">
        <v>0.53407499999999997</v>
      </c>
      <c r="AA87" s="65">
        <v>0.120766</v>
      </c>
      <c r="AB87" s="65">
        <v>0.45972099999999999</v>
      </c>
      <c r="AC87" s="65">
        <v>0.30099100000000001</v>
      </c>
      <c r="AD87" s="65">
        <v>0.117727</v>
      </c>
      <c r="AE87" s="65">
        <v>0.332984</v>
      </c>
      <c r="AF87" s="65">
        <v>0.112465</v>
      </c>
      <c r="AG87" s="65">
        <v>6.4907999999999993E-2</v>
      </c>
      <c r="AH87" s="65">
        <v>0.38122499999999998</v>
      </c>
      <c r="AI87" s="65">
        <v>0.84694400000000003</v>
      </c>
      <c r="AJ87" s="65">
        <v>0.41317700000000002</v>
      </c>
      <c r="AK87" s="65">
        <v>0.21599699999999999</v>
      </c>
      <c r="AL87">
        <v>0</v>
      </c>
      <c r="AM87">
        <v>0</v>
      </c>
      <c r="AN87">
        <v>5.0802481171854048E-2</v>
      </c>
      <c r="AO87">
        <v>1.258653241032096E-3</v>
      </c>
      <c r="AP87">
        <v>3.7138468239809992E-2</v>
      </c>
      <c r="AQ87">
        <v>8.0193952006853645E-3</v>
      </c>
      <c r="AR87">
        <v>4.933920704845815E-3</v>
      </c>
      <c r="AS87">
        <v>0.1158731002277212</v>
      </c>
      <c r="AT87">
        <v>0.39243003885893302</v>
      </c>
      <c r="AU87">
        <v>0</v>
      </c>
      <c r="AV87">
        <v>0</v>
      </c>
      <c r="AW87">
        <v>5.0199031315567586E-3</v>
      </c>
      <c r="AY87">
        <f t="shared" si="13"/>
        <v>0</v>
      </c>
      <c r="AZ87">
        <f t="shared" si="14"/>
        <v>0</v>
      </c>
      <c r="BA87">
        <f t="shared" si="15"/>
        <v>5.0802481171854046</v>
      </c>
      <c r="BB87">
        <f t="shared" si="16"/>
        <v>0.12586532410320961</v>
      </c>
      <c r="BC87">
        <f t="shared" si="17"/>
        <v>3.7138468239809992</v>
      </c>
      <c r="BD87">
        <f t="shared" si="18"/>
        <v>0.80193952006853642</v>
      </c>
      <c r="BE87">
        <f t="shared" si="19"/>
        <v>0.4933920704845815</v>
      </c>
      <c r="BF87">
        <f t="shared" si="20"/>
        <v>11.587310022772119</v>
      </c>
      <c r="BG87">
        <f t="shared" si="21"/>
        <v>39.243003885893302</v>
      </c>
      <c r="BH87">
        <f t="shared" si="22"/>
        <v>0</v>
      </c>
      <c r="BI87">
        <f t="shared" si="23"/>
        <v>0</v>
      </c>
      <c r="BJ87">
        <f t="shared" si="24"/>
        <v>0.50199031315567588</v>
      </c>
    </row>
    <row r="88" spans="1:62" ht="15.6" thickBot="1">
      <c r="A88" s="7" t="s">
        <v>177</v>
      </c>
      <c r="B88" s="9" t="s">
        <v>176</v>
      </c>
      <c r="C88" s="38" t="s">
        <v>57</v>
      </c>
      <c r="D88" s="35">
        <v>28.15126050420168</v>
      </c>
      <c r="E88" s="10">
        <v>29.6</v>
      </c>
      <c r="F88" s="10">
        <v>10.504201680672269</v>
      </c>
      <c r="G88" s="10">
        <v>61.344537815126053</v>
      </c>
      <c r="H88" s="11">
        <v>35.814703571428566</v>
      </c>
      <c r="I88" s="12">
        <v>28.9</v>
      </c>
      <c r="J88" s="14">
        <v>11.4</v>
      </c>
      <c r="K88" s="14">
        <v>94</v>
      </c>
      <c r="L88" s="15">
        <v>56.999999999999993</v>
      </c>
      <c r="M88" s="13">
        <v>60</v>
      </c>
      <c r="N88" s="15">
        <v>69</v>
      </c>
      <c r="O88" s="16">
        <v>19</v>
      </c>
      <c r="P88" s="15">
        <v>60</v>
      </c>
      <c r="Q88" s="15">
        <v>62</v>
      </c>
      <c r="R88" s="22">
        <v>49</v>
      </c>
      <c r="S88" s="10">
        <v>77</v>
      </c>
      <c r="T88" s="42">
        <v>72.740302932593593</v>
      </c>
      <c r="U88" s="65">
        <v>0.13553000000000001</v>
      </c>
      <c r="V88" s="65">
        <v>0.130685</v>
      </c>
      <c r="W88" s="65">
        <v>0.35645900000000003</v>
      </c>
      <c r="X88" s="65">
        <v>0.82039200000000001</v>
      </c>
      <c r="Y88" s="65">
        <v>0.94456200000000001</v>
      </c>
      <c r="Z88" s="65">
        <v>0.23802599999999999</v>
      </c>
      <c r="AA88" s="65">
        <v>0.162767</v>
      </c>
      <c r="AB88" s="65">
        <v>0.45495600000000003</v>
      </c>
      <c r="AC88" s="65">
        <v>0.31729499999999999</v>
      </c>
      <c r="AD88" s="65">
        <v>9.6700999999999995E-2</v>
      </c>
      <c r="AE88" s="65">
        <v>0.28442299999999998</v>
      </c>
      <c r="AF88" s="65">
        <v>7.0704000000000003E-2</v>
      </c>
      <c r="AG88" s="65">
        <v>7.2329999999999998E-3</v>
      </c>
      <c r="AH88" s="65">
        <v>0.28296399999999999</v>
      </c>
      <c r="AI88" s="65">
        <v>0.82961799999999997</v>
      </c>
      <c r="AJ88" s="65">
        <v>0.404501</v>
      </c>
      <c r="AK88" s="65">
        <v>0.14940899999999999</v>
      </c>
      <c r="AL88">
        <v>0</v>
      </c>
      <c r="AM88">
        <v>0</v>
      </c>
      <c r="AN88">
        <v>7.6343417668641236E-2</v>
      </c>
      <c r="AO88">
        <v>6.0407752328215459E-3</v>
      </c>
      <c r="AP88">
        <v>0.12245987675128581</v>
      </c>
      <c r="AQ88">
        <v>1.4479703071171281E-2</v>
      </c>
      <c r="AR88">
        <v>6.3629499119053634E-3</v>
      </c>
      <c r="AS88">
        <v>9.5519593599350347E-2</v>
      </c>
      <c r="AT88">
        <v>0.50384727829164666</v>
      </c>
      <c r="AU88">
        <v>2.953267891601645E-2</v>
      </c>
      <c r="AV88">
        <v>0.30664130403614731</v>
      </c>
      <c r="AW88">
        <v>0.20879935166690669</v>
      </c>
      <c r="AY88">
        <f t="shared" si="13"/>
        <v>0</v>
      </c>
      <c r="AZ88">
        <f t="shared" si="14"/>
        <v>0</v>
      </c>
      <c r="BA88">
        <f t="shared" si="15"/>
        <v>7.6343417668641234</v>
      </c>
      <c r="BB88">
        <f t="shared" si="16"/>
        <v>0.60407752328215458</v>
      </c>
      <c r="BC88">
        <f t="shared" si="17"/>
        <v>12.24598767512858</v>
      </c>
      <c r="BD88">
        <f t="shared" si="18"/>
        <v>1.4479703071171282</v>
      </c>
      <c r="BE88">
        <f t="shared" si="19"/>
        <v>0.63629499119053634</v>
      </c>
      <c r="BF88">
        <f t="shared" si="20"/>
        <v>9.5519593599350348</v>
      </c>
      <c r="BG88">
        <f t="shared" si="21"/>
        <v>50.384727829164667</v>
      </c>
      <c r="BH88">
        <f t="shared" si="22"/>
        <v>2.9532678916016448</v>
      </c>
      <c r="BI88">
        <f t="shared" si="23"/>
        <v>30.664130403614731</v>
      </c>
      <c r="BJ88">
        <f t="shared" si="24"/>
        <v>20.879935166690668</v>
      </c>
    </row>
    <row r="89" spans="1:62" ht="15.6" thickBot="1">
      <c r="A89" s="6" t="s">
        <v>178</v>
      </c>
      <c r="B89" s="17" t="s">
        <v>179</v>
      </c>
      <c r="C89" s="37" t="s">
        <v>108</v>
      </c>
      <c r="D89" s="35">
        <v>34.545454545454547</v>
      </c>
      <c r="E89" s="10">
        <v>34.799999999999997</v>
      </c>
      <c r="F89" s="10">
        <v>12.727272727272727</v>
      </c>
      <c r="G89" s="10">
        <v>52.72727272727272</v>
      </c>
      <c r="H89" s="11">
        <v>22.993031707317073</v>
      </c>
      <c r="I89" s="12">
        <v>48.7</v>
      </c>
      <c r="J89" s="14">
        <v>5.7</v>
      </c>
      <c r="K89" s="14">
        <v>98</v>
      </c>
      <c r="L89" s="15">
        <v>10</v>
      </c>
      <c r="M89" s="13">
        <v>78</v>
      </c>
      <c r="N89" s="15">
        <v>89</v>
      </c>
      <c r="O89" s="16">
        <v>24</v>
      </c>
      <c r="P89" s="15">
        <v>78</v>
      </c>
      <c r="Q89" s="15">
        <v>71</v>
      </c>
      <c r="R89" s="22">
        <v>70</v>
      </c>
      <c r="S89" s="10">
        <v>80</v>
      </c>
      <c r="T89" s="42">
        <v>89.299683632829797</v>
      </c>
      <c r="U89" s="65">
        <v>0.39642300000000003</v>
      </c>
      <c r="V89" s="65">
        <v>0.247475</v>
      </c>
      <c r="W89" s="65">
        <v>0.25306299999999998</v>
      </c>
      <c r="X89" s="65">
        <v>0.71164300000000003</v>
      </c>
      <c r="Y89" s="65">
        <v>0.89958300000000002</v>
      </c>
      <c r="Z89" s="65">
        <v>0.750749</v>
      </c>
      <c r="AA89" s="65">
        <v>0.19506999999999999</v>
      </c>
      <c r="AB89" s="65">
        <v>0.58352499999999996</v>
      </c>
      <c r="AC89" s="65">
        <v>0.52104600000000001</v>
      </c>
      <c r="AD89" s="65">
        <v>0.175846</v>
      </c>
      <c r="AE89" s="65">
        <v>0.68207799999999996</v>
      </c>
      <c r="AF89" s="65">
        <v>0.19728299999999999</v>
      </c>
      <c r="AG89" s="65">
        <v>1.4241E-2</v>
      </c>
      <c r="AH89" s="65">
        <v>0.39517099999999999</v>
      </c>
      <c r="AI89" s="65">
        <v>0.89314300000000002</v>
      </c>
      <c r="AJ89" s="65">
        <v>0.27900999999999998</v>
      </c>
      <c r="AK89" s="65">
        <v>0.61988799999999999</v>
      </c>
      <c r="AL89">
        <v>0</v>
      </c>
      <c r="AM89">
        <v>0</v>
      </c>
      <c r="AN89">
        <v>0.1201961990481432</v>
      </c>
      <c r="AO89">
        <v>0</v>
      </c>
      <c r="AP89">
        <v>0</v>
      </c>
      <c r="AQ89">
        <v>2.3724834786811009E-2</v>
      </c>
      <c r="AR89">
        <v>1.107266435986159E-3</v>
      </c>
      <c r="AS89">
        <v>0.13378465444762419</v>
      </c>
      <c r="AT89">
        <v>0.1944700092033132</v>
      </c>
      <c r="AU89">
        <v>1.964504967072218E-2</v>
      </c>
      <c r="AV89">
        <v>0.32211114511162342</v>
      </c>
      <c r="AW89">
        <v>0.38723361502137771</v>
      </c>
      <c r="AY89">
        <f t="shared" si="13"/>
        <v>0</v>
      </c>
      <c r="AZ89">
        <f t="shared" si="14"/>
        <v>0</v>
      </c>
      <c r="BA89">
        <f t="shared" si="15"/>
        <v>12.01961990481432</v>
      </c>
      <c r="BB89">
        <f t="shared" si="16"/>
        <v>0</v>
      </c>
      <c r="BC89">
        <f t="shared" si="17"/>
        <v>0</v>
      </c>
      <c r="BD89">
        <f t="shared" si="18"/>
        <v>2.3724834786811009</v>
      </c>
      <c r="BE89">
        <f t="shared" si="19"/>
        <v>0.11072664359861591</v>
      </c>
      <c r="BF89">
        <f t="shared" si="20"/>
        <v>13.378465444762419</v>
      </c>
      <c r="BG89">
        <f t="shared" si="21"/>
        <v>19.44700092033132</v>
      </c>
      <c r="BH89">
        <f t="shared" si="22"/>
        <v>1.9645049670722181</v>
      </c>
      <c r="BI89">
        <f t="shared" si="23"/>
        <v>32.211114511162343</v>
      </c>
      <c r="BJ89">
        <f t="shared" si="24"/>
        <v>38.72336150213777</v>
      </c>
    </row>
    <row r="90" spans="1:62" ht="15.6" thickBot="1">
      <c r="A90" s="7" t="s">
        <v>180</v>
      </c>
      <c r="B90" s="9" t="s">
        <v>179</v>
      </c>
      <c r="C90" s="38" t="s">
        <v>108</v>
      </c>
      <c r="D90" s="35">
        <v>34.545454545454547</v>
      </c>
      <c r="E90" s="10">
        <v>34.799999999999997</v>
      </c>
      <c r="F90" s="10">
        <v>12.727272727272727</v>
      </c>
      <c r="G90" s="10">
        <v>52.72727272727272</v>
      </c>
      <c r="H90" s="11">
        <v>66.960823809523816</v>
      </c>
      <c r="I90" s="12">
        <v>43.6</v>
      </c>
      <c r="J90" s="14">
        <v>8.5</v>
      </c>
      <c r="K90" s="14">
        <v>98</v>
      </c>
      <c r="L90" s="15">
        <v>10</v>
      </c>
      <c r="M90" s="13">
        <v>78</v>
      </c>
      <c r="N90" s="15">
        <v>89</v>
      </c>
      <c r="O90" s="16">
        <v>24</v>
      </c>
      <c r="P90" s="15">
        <v>78</v>
      </c>
      <c r="Q90" s="15">
        <v>71</v>
      </c>
      <c r="R90" s="22">
        <v>70</v>
      </c>
      <c r="S90" s="10">
        <v>80</v>
      </c>
      <c r="T90" s="42">
        <v>83.3039919216817</v>
      </c>
      <c r="U90" s="65">
        <v>0.28099499999999999</v>
      </c>
      <c r="V90" s="65">
        <v>0.28595300000000001</v>
      </c>
      <c r="W90" s="65">
        <v>0.48718099999999998</v>
      </c>
      <c r="X90" s="65">
        <v>0.80911100000000002</v>
      </c>
      <c r="Y90" s="65">
        <v>0.94416800000000001</v>
      </c>
      <c r="Z90" s="65">
        <v>0.87105699999999997</v>
      </c>
      <c r="AA90" s="65">
        <v>0.17455899999999999</v>
      </c>
      <c r="AB90" s="65">
        <v>0.47531800000000002</v>
      </c>
      <c r="AC90" s="65">
        <v>0.34123900000000001</v>
      </c>
      <c r="AD90" s="65">
        <v>0.101538</v>
      </c>
      <c r="AE90" s="65">
        <v>0.351879</v>
      </c>
      <c r="AF90" s="65">
        <v>8.6275000000000004E-2</v>
      </c>
      <c r="AG90" s="65">
        <v>2.9839000000000001E-2</v>
      </c>
      <c r="AH90" s="65">
        <v>0.36245500000000003</v>
      </c>
      <c r="AI90" s="65">
        <v>0.90150699999999995</v>
      </c>
      <c r="AJ90" s="65">
        <v>0.44167000000000001</v>
      </c>
      <c r="AK90" s="65">
        <v>0.64390800000000004</v>
      </c>
      <c r="AL90">
        <v>0</v>
      </c>
      <c r="AM90">
        <v>0</v>
      </c>
      <c r="AN90">
        <v>5.3245667955315518E-2</v>
      </c>
      <c r="AO90">
        <v>1.2463000467362519E-3</v>
      </c>
      <c r="AP90">
        <v>5.8582343400480137E-2</v>
      </c>
      <c r="AQ90">
        <v>1.363691122533865E-2</v>
      </c>
      <c r="AR90">
        <v>1.5952640598224019E-3</v>
      </c>
      <c r="AS90">
        <v>0.13708396044876861</v>
      </c>
      <c r="AT90">
        <v>0.32350522066163961</v>
      </c>
      <c r="AU90">
        <v>4.5697668380329228E-3</v>
      </c>
      <c r="AV90">
        <v>0.14669103587537291</v>
      </c>
      <c r="AW90">
        <v>0.1390088264298939</v>
      </c>
      <c r="AY90">
        <f t="shared" si="13"/>
        <v>0</v>
      </c>
      <c r="AZ90">
        <f t="shared" si="14"/>
        <v>0</v>
      </c>
      <c r="BA90">
        <f t="shared" si="15"/>
        <v>5.3245667955315517</v>
      </c>
      <c r="BB90">
        <f t="shared" si="16"/>
        <v>0.12463000467362519</v>
      </c>
      <c r="BC90">
        <f t="shared" si="17"/>
        <v>5.8582343400480141</v>
      </c>
      <c r="BD90">
        <f t="shared" si="18"/>
        <v>1.363691122533865</v>
      </c>
      <c r="BE90">
        <f t="shared" si="19"/>
        <v>0.15952640598224019</v>
      </c>
      <c r="BF90">
        <f t="shared" si="20"/>
        <v>13.708396044876862</v>
      </c>
      <c r="BG90">
        <f t="shared" si="21"/>
        <v>32.350522066163961</v>
      </c>
      <c r="BH90">
        <f t="shared" si="22"/>
        <v>0.45697668380329226</v>
      </c>
      <c r="BI90">
        <f t="shared" si="23"/>
        <v>14.669103587537291</v>
      </c>
      <c r="BJ90">
        <f t="shared" si="24"/>
        <v>13.900882642989391</v>
      </c>
    </row>
    <row r="91" spans="1:62" ht="15.6" thickBot="1">
      <c r="A91" s="6" t="s">
        <v>181</v>
      </c>
      <c r="B91" s="17" t="s">
        <v>120</v>
      </c>
      <c r="C91" s="37" t="s">
        <v>108</v>
      </c>
      <c r="D91" s="35">
        <v>34.545454545454547</v>
      </c>
      <c r="E91" s="10">
        <v>34.799999999999997</v>
      </c>
      <c r="F91" s="10">
        <v>12.727272727272727</v>
      </c>
      <c r="G91" s="10">
        <v>52.72727272727272</v>
      </c>
      <c r="H91" s="11">
        <v>10.764750000000001</v>
      </c>
      <c r="I91" s="12">
        <v>41.5</v>
      </c>
      <c r="J91" s="14">
        <v>8.8000000000000007</v>
      </c>
      <c r="K91" s="14">
        <v>96</v>
      </c>
      <c r="L91" s="15">
        <v>38</v>
      </c>
      <c r="M91" s="13">
        <v>62</v>
      </c>
      <c r="N91" s="15">
        <v>78</v>
      </c>
      <c r="O91" s="16">
        <v>34</v>
      </c>
      <c r="P91" s="15">
        <v>64</v>
      </c>
      <c r="Q91" s="15">
        <v>70</v>
      </c>
      <c r="R91" s="22">
        <v>70</v>
      </c>
      <c r="S91" s="10">
        <v>84</v>
      </c>
      <c r="T91" s="42">
        <v>85.345445658546495</v>
      </c>
      <c r="U91" s="65">
        <v>0.337316</v>
      </c>
      <c r="V91" s="65">
        <v>0.23341999999999999</v>
      </c>
      <c r="W91" s="65">
        <v>0.49017500000000003</v>
      </c>
      <c r="X91" s="65">
        <v>0.75004000000000004</v>
      </c>
      <c r="Y91" s="65">
        <v>0.95874099999999995</v>
      </c>
      <c r="Z91" s="65">
        <v>0.68511500000000003</v>
      </c>
      <c r="AA91" s="65">
        <v>0.36796899999999999</v>
      </c>
      <c r="AB91" s="65">
        <v>0.46992699999999998</v>
      </c>
      <c r="AC91" s="65">
        <v>0.38690000000000002</v>
      </c>
      <c r="AD91" s="65">
        <v>8.7031999999999998E-2</v>
      </c>
      <c r="AE91" s="65">
        <v>0.38215500000000002</v>
      </c>
      <c r="AF91" s="65">
        <v>6.6831000000000002E-2</v>
      </c>
      <c r="AG91" s="65">
        <v>5.6491E-2</v>
      </c>
      <c r="AH91" s="65">
        <v>0.40209899999999998</v>
      </c>
      <c r="AI91" s="65">
        <v>0.86845700000000003</v>
      </c>
      <c r="AJ91" s="65">
        <v>0.52686200000000005</v>
      </c>
      <c r="AK91" s="65">
        <v>0.57363600000000003</v>
      </c>
      <c r="AL91">
        <v>3.0607247796278162E-3</v>
      </c>
      <c r="AM91">
        <v>0.1756440397208687</v>
      </c>
      <c r="AN91">
        <v>0.40529462106832959</v>
      </c>
      <c r="AO91">
        <v>6.8560235063663084E-3</v>
      </c>
      <c r="AP91">
        <v>0.26346605958130298</v>
      </c>
      <c r="AQ91">
        <v>0.12637767647314821</v>
      </c>
      <c r="AR91">
        <v>2.7032321253672872E-3</v>
      </c>
      <c r="AS91">
        <v>0.27400725425128891</v>
      </c>
      <c r="AT91">
        <v>0.9425268096514744</v>
      </c>
      <c r="AU91">
        <v>2.1547502448579829E-2</v>
      </c>
      <c r="AV91">
        <v>0.65972282695791418</v>
      </c>
      <c r="AW91">
        <v>1</v>
      </c>
      <c r="AY91">
        <f t="shared" si="13"/>
        <v>0.30607247796278164</v>
      </c>
      <c r="AZ91">
        <f t="shared" si="14"/>
        <v>17.564403972086868</v>
      </c>
      <c r="BA91">
        <f t="shared" si="15"/>
        <v>40.529462106832959</v>
      </c>
      <c r="BB91">
        <f t="shared" si="16"/>
        <v>0.68560235063663089</v>
      </c>
      <c r="BC91">
        <f t="shared" si="17"/>
        <v>26.346605958130297</v>
      </c>
      <c r="BD91">
        <f t="shared" si="18"/>
        <v>12.637767647314821</v>
      </c>
      <c r="BE91">
        <f t="shared" si="19"/>
        <v>0.2703232125367287</v>
      </c>
      <c r="BF91">
        <f t="shared" si="20"/>
        <v>27.40072542512889</v>
      </c>
      <c r="BG91">
        <f t="shared" si="21"/>
        <v>94.252680965147434</v>
      </c>
      <c r="BH91">
        <f t="shared" si="22"/>
        <v>2.1547502448579827</v>
      </c>
      <c r="BI91">
        <f t="shared" si="23"/>
        <v>65.972282695791421</v>
      </c>
      <c r="BJ91">
        <f t="shared" si="24"/>
        <v>100</v>
      </c>
    </row>
    <row r="92" spans="1:62" ht="15.6" thickBot="1">
      <c r="A92" s="7" t="s">
        <v>182</v>
      </c>
      <c r="B92" s="9" t="s">
        <v>120</v>
      </c>
      <c r="C92" s="38" t="s">
        <v>108</v>
      </c>
      <c r="D92" s="35">
        <v>34.545454545454547</v>
      </c>
      <c r="E92" s="10">
        <v>34.799999999999997</v>
      </c>
      <c r="F92" s="10">
        <v>12.727272727272727</v>
      </c>
      <c r="G92" s="10">
        <v>52.72727272727272</v>
      </c>
      <c r="H92" s="11">
        <v>14.932676000000001</v>
      </c>
      <c r="I92" s="12">
        <v>39.299999999999997</v>
      </c>
      <c r="J92" s="14">
        <v>8.5</v>
      </c>
      <c r="K92" s="14">
        <v>96</v>
      </c>
      <c r="L92" s="15">
        <v>38</v>
      </c>
      <c r="M92" s="13">
        <v>62</v>
      </c>
      <c r="N92" s="15">
        <v>78</v>
      </c>
      <c r="O92" s="16">
        <v>34</v>
      </c>
      <c r="P92" s="15">
        <v>64</v>
      </c>
      <c r="Q92" s="15">
        <v>70</v>
      </c>
      <c r="R92" s="22">
        <v>70</v>
      </c>
      <c r="S92" s="10">
        <v>84</v>
      </c>
      <c r="T92" s="42">
        <v>80.542253630151293</v>
      </c>
      <c r="U92" s="65">
        <v>0.48158600000000001</v>
      </c>
      <c r="V92" s="65">
        <v>0.25811600000000001</v>
      </c>
      <c r="W92" s="65">
        <v>0.26336500000000002</v>
      </c>
      <c r="X92" s="65">
        <v>0.61856699999999998</v>
      </c>
      <c r="Y92" s="65">
        <v>0.88707199999999997</v>
      </c>
      <c r="Z92" s="65">
        <v>0.82480200000000004</v>
      </c>
      <c r="AA92" s="65">
        <v>0.75726300000000002</v>
      </c>
      <c r="AB92" s="65">
        <v>0.557284</v>
      </c>
      <c r="AC92" s="65">
        <v>0.58993399999999996</v>
      </c>
      <c r="AD92" s="65">
        <v>0.18134800000000001</v>
      </c>
      <c r="AE92" s="65">
        <v>0.51390800000000003</v>
      </c>
      <c r="AF92" s="65">
        <v>0.13256200000000001</v>
      </c>
      <c r="AG92" s="65">
        <v>7.5822000000000001E-2</v>
      </c>
      <c r="AH92" s="65">
        <v>0.52504600000000001</v>
      </c>
      <c r="AI92" s="65">
        <v>0.90184799999999998</v>
      </c>
      <c r="AJ92" s="65">
        <v>0.485124</v>
      </c>
      <c r="AK92" s="65">
        <v>0.594495</v>
      </c>
      <c r="AL92">
        <v>0</v>
      </c>
      <c r="AM92">
        <v>0</v>
      </c>
      <c r="AN92">
        <v>0.2184504233433629</v>
      </c>
      <c r="AO92">
        <v>0</v>
      </c>
      <c r="AP92">
        <v>0</v>
      </c>
      <c r="AQ92">
        <v>7.8335799460353378E-2</v>
      </c>
      <c r="AR92">
        <v>6.1789825473449681E-4</v>
      </c>
      <c r="AS92">
        <v>0.5778356449524541</v>
      </c>
      <c r="AT92">
        <v>0.65186370319121323</v>
      </c>
      <c r="AU92">
        <v>4.3569748731278621E-3</v>
      </c>
      <c r="AV92">
        <v>0.46374850700786963</v>
      </c>
      <c r="AW92">
        <v>0.75045238497358058</v>
      </c>
      <c r="AY92">
        <f t="shared" si="13"/>
        <v>0</v>
      </c>
      <c r="AZ92">
        <f t="shared" si="14"/>
        <v>0</v>
      </c>
      <c r="BA92">
        <f t="shared" si="15"/>
        <v>21.845042334336291</v>
      </c>
      <c r="BB92">
        <f t="shared" si="16"/>
        <v>0</v>
      </c>
      <c r="BC92">
        <f t="shared" si="17"/>
        <v>0</v>
      </c>
      <c r="BD92">
        <f t="shared" si="18"/>
        <v>7.8335799460353375</v>
      </c>
      <c r="BE92">
        <f t="shared" si="19"/>
        <v>6.1789825473449682E-2</v>
      </c>
      <c r="BF92">
        <f t="shared" si="20"/>
        <v>57.783564495245407</v>
      </c>
      <c r="BG92">
        <f t="shared" si="21"/>
        <v>65.186370319121323</v>
      </c>
      <c r="BH92">
        <f t="shared" si="22"/>
        <v>0.43569748731278624</v>
      </c>
      <c r="BI92">
        <f t="shared" si="23"/>
        <v>46.374850700786965</v>
      </c>
      <c r="BJ92">
        <f t="shared" si="24"/>
        <v>75.045238497358056</v>
      </c>
    </row>
    <row r="93" spans="1:62" ht="15.6" thickBot="1">
      <c r="A93" s="6" t="s">
        <v>183</v>
      </c>
      <c r="B93" s="17" t="s">
        <v>158</v>
      </c>
      <c r="C93" s="37" t="s">
        <v>54</v>
      </c>
      <c r="D93" s="35">
        <v>35.483870967741936</v>
      </c>
      <c r="E93" s="10">
        <v>49.5</v>
      </c>
      <c r="F93" s="10">
        <v>17.419354838709676</v>
      </c>
      <c r="G93" s="10">
        <v>47.096774193548384</v>
      </c>
      <c r="H93" s="11">
        <v>62.751121052631589</v>
      </c>
      <c r="I93" s="12">
        <v>29.6</v>
      </c>
      <c r="J93" s="14">
        <v>5.3</v>
      </c>
      <c r="K93" s="14">
        <v>98</v>
      </c>
      <c r="L93" s="15">
        <v>12</v>
      </c>
      <c r="M93" s="13">
        <v>80</v>
      </c>
      <c r="N93" s="15">
        <v>78</v>
      </c>
      <c r="O93" s="16">
        <v>27</v>
      </c>
      <c r="P93" s="15">
        <v>83</v>
      </c>
      <c r="Q93" s="15">
        <v>83</v>
      </c>
      <c r="R93" s="22">
        <v>62</v>
      </c>
      <c r="S93" s="10">
        <v>85</v>
      </c>
      <c r="T93" s="42">
        <v>15.9566658346802</v>
      </c>
      <c r="U93" s="65">
        <v>4.0203999999999997E-2</v>
      </c>
      <c r="V93" s="65">
        <v>0.12665499999999999</v>
      </c>
      <c r="W93" s="65">
        <v>0.22169700000000001</v>
      </c>
      <c r="X93" s="65">
        <v>0.90466400000000002</v>
      </c>
      <c r="Y93" s="65">
        <v>0.96539600000000003</v>
      </c>
      <c r="Z93" s="65">
        <v>8.4891999999999995E-2</v>
      </c>
      <c r="AA93" s="65">
        <v>4.0453000000000003E-2</v>
      </c>
      <c r="AB93" s="65">
        <v>0.23944699999999999</v>
      </c>
      <c r="AC93" s="65">
        <v>0.12870100000000001</v>
      </c>
      <c r="AD93" s="65">
        <v>3.9539999999999999E-2</v>
      </c>
      <c r="AE93" s="65">
        <v>2.0042999999999998E-2</v>
      </c>
      <c r="AF93" s="65">
        <v>0</v>
      </c>
      <c r="AG93" s="65">
        <v>2.3417E-2</v>
      </c>
      <c r="AH93" s="65">
        <v>0.21094099999999999</v>
      </c>
      <c r="AI93" s="65">
        <v>0.41026000000000001</v>
      </c>
      <c r="AJ93" s="65">
        <v>0.72300900000000001</v>
      </c>
      <c r="AK93" s="65">
        <v>0.88856100000000005</v>
      </c>
      <c r="AL93">
        <v>4.0496760259179268E-2</v>
      </c>
      <c r="AM93">
        <v>1.7093131526913469E-2</v>
      </c>
      <c r="AN93">
        <v>8.8693015596907426E-2</v>
      </c>
      <c r="AO93">
        <v>9.5032397408207347E-2</v>
      </c>
      <c r="AP93">
        <v>1.7093131526913469E-2</v>
      </c>
      <c r="AQ93">
        <v>7.5170089656488068E-2</v>
      </c>
      <c r="AR93">
        <v>6.0129589632829383E-2</v>
      </c>
      <c r="AS93">
        <v>3.9998300343884852E-2</v>
      </c>
      <c r="AT93">
        <v>0.40504454820851199</v>
      </c>
      <c r="AU93">
        <v>0.34845212383009361</v>
      </c>
      <c r="AV93">
        <v>4.2801448772641297E-2</v>
      </c>
      <c r="AW93">
        <v>0.31512706143683322</v>
      </c>
      <c r="AY93">
        <f t="shared" si="13"/>
        <v>4.0496760259179272</v>
      </c>
      <c r="AZ93">
        <f t="shared" si="14"/>
        <v>1.709313152691347</v>
      </c>
      <c r="BA93">
        <f t="shared" si="15"/>
        <v>8.8693015596907419</v>
      </c>
      <c r="BB93">
        <f t="shared" si="16"/>
        <v>9.5032397408207352</v>
      </c>
      <c r="BC93">
        <f t="shared" si="17"/>
        <v>1.709313152691347</v>
      </c>
      <c r="BD93">
        <f t="shared" si="18"/>
        <v>7.5170089656488068</v>
      </c>
      <c r="BE93">
        <f t="shared" si="19"/>
        <v>6.0129589632829381</v>
      </c>
      <c r="BF93">
        <f t="shared" si="20"/>
        <v>3.9998300343884852</v>
      </c>
      <c r="BG93">
        <f t="shared" si="21"/>
        <v>40.504454820851201</v>
      </c>
      <c r="BH93">
        <f t="shared" si="22"/>
        <v>34.845212383009361</v>
      </c>
      <c r="BI93">
        <f t="shared" si="23"/>
        <v>4.2801448772641297</v>
      </c>
      <c r="BJ93">
        <f t="shared" si="24"/>
        <v>31.512706143683321</v>
      </c>
    </row>
    <row r="94" spans="1:62" ht="15.6" thickBot="1">
      <c r="A94" s="7" t="s">
        <v>184</v>
      </c>
      <c r="B94" s="9" t="s">
        <v>153</v>
      </c>
      <c r="C94" s="38" t="s">
        <v>134</v>
      </c>
      <c r="D94" s="35">
        <v>43.640897755610972</v>
      </c>
      <c r="E94" s="10">
        <v>96</v>
      </c>
      <c r="F94" s="10">
        <v>13.96508728179551</v>
      </c>
      <c r="G94" s="10">
        <v>42.394014962593516</v>
      </c>
      <c r="H94" s="11">
        <v>3.8913703124999999</v>
      </c>
      <c r="I94" s="12">
        <v>42.6</v>
      </c>
      <c r="J94" s="14">
        <v>11.4</v>
      </c>
      <c r="K94" s="14">
        <v>88</v>
      </c>
      <c r="L94" s="15">
        <v>66</v>
      </c>
      <c r="M94" s="13">
        <v>51</v>
      </c>
      <c r="N94" s="15">
        <v>66</v>
      </c>
      <c r="O94" s="16">
        <v>24</v>
      </c>
      <c r="P94" s="15">
        <v>78</v>
      </c>
      <c r="Q94" s="15">
        <v>74</v>
      </c>
      <c r="R94" s="22">
        <v>56.000000000000007</v>
      </c>
      <c r="S94" s="10">
        <v>71</v>
      </c>
      <c r="T94" s="42">
        <v>65.472032728924106</v>
      </c>
      <c r="U94" s="65">
        <v>0.28345799999999999</v>
      </c>
      <c r="V94" s="65">
        <v>0.24105299999999999</v>
      </c>
      <c r="W94" s="65">
        <v>0.238873</v>
      </c>
      <c r="X94" s="65">
        <v>0.73729800000000001</v>
      </c>
      <c r="Y94" s="65">
        <v>0.84645899999999996</v>
      </c>
      <c r="Z94" s="65">
        <v>0.61211499999999996</v>
      </c>
      <c r="AA94" s="65">
        <v>7.7844999999999998E-2</v>
      </c>
      <c r="AB94" s="65">
        <v>0.35433300000000001</v>
      </c>
      <c r="AC94" s="65">
        <v>0.29910300000000001</v>
      </c>
      <c r="AD94" s="65">
        <v>0.14250699999999999</v>
      </c>
      <c r="AE94" s="65">
        <v>0.38503300000000001</v>
      </c>
      <c r="AF94" s="65">
        <v>0.16227800000000001</v>
      </c>
      <c r="AG94" s="65">
        <v>1.9698E-2</v>
      </c>
      <c r="AH94" s="65">
        <v>0.48072599999999999</v>
      </c>
      <c r="AI94" s="65">
        <v>0.89929300000000001</v>
      </c>
      <c r="AJ94" s="65">
        <v>0.37525700000000001</v>
      </c>
      <c r="AK94" s="65">
        <v>0.54527199999999998</v>
      </c>
      <c r="AL94">
        <v>2.0726247720112751E-3</v>
      </c>
      <c r="AM94">
        <v>5.3676180859906379E-2</v>
      </c>
      <c r="AN94">
        <v>0.13372027585642371</v>
      </c>
      <c r="AO94">
        <v>0</v>
      </c>
      <c r="AP94">
        <v>0</v>
      </c>
      <c r="AQ94">
        <v>1.6627881960924061E-3</v>
      </c>
      <c r="AR94">
        <v>4.2447355330790917E-4</v>
      </c>
      <c r="AS94">
        <v>8.3735622111013611E-2</v>
      </c>
      <c r="AT94">
        <v>6.4874298143558093E-2</v>
      </c>
      <c r="AU94">
        <v>0</v>
      </c>
      <c r="AV94">
        <v>0</v>
      </c>
      <c r="AW94">
        <v>1.4450826265505709E-2</v>
      </c>
      <c r="AY94">
        <f t="shared" si="13"/>
        <v>0.2072624772011275</v>
      </c>
      <c r="AZ94">
        <f t="shared" si="14"/>
        <v>5.3676180859906379</v>
      </c>
      <c r="BA94">
        <f t="shared" si="15"/>
        <v>13.372027585642371</v>
      </c>
      <c r="BB94">
        <f t="shared" si="16"/>
        <v>0</v>
      </c>
      <c r="BC94">
        <f t="shared" si="17"/>
        <v>0</v>
      </c>
      <c r="BD94">
        <f t="shared" si="18"/>
        <v>0.1662788196092406</v>
      </c>
      <c r="BE94">
        <f t="shared" si="19"/>
        <v>4.2447355330790915E-2</v>
      </c>
      <c r="BF94">
        <f t="shared" si="20"/>
        <v>8.3735622111013619</v>
      </c>
      <c r="BG94">
        <f t="shared" si="21"/>
        <v>6.4874298143558091</v>
      </c>
      <c r="BH94">
        <f t="shared" si="22"/>
        <v>0</v>
      </c>
      <c r="BI94">
        <f t="shared" si="23"/>
        <v>0</v>
      </c>
      <c r="BJ94">
        <f t="shared" si="24"/>
        <v>1.445082626550571</v>
      </c>
    </row>
    <row r="95" spans="1:62" ht="15.6" thickBot="1">
      <c r="A95" s="6" t="s">
        <v>185</v>
      </c>
      <c r="B95" s="17" t="s">
        <v>153</v>
      </c>
      <c r="C95" s="37" t="s">
        <v>134</v>
      </c>
      <c r="D95" s="35">
        <v>43.640897755610972</v>
      </c>
      <c r="E95" s="10">
        <v>96</v>
      </c>
      <c r="F95" s="10">
        <v>13.96508728179551</v>
      </c>
      <c r="G95" s="10">
        <v>42.394014962593516</v>
      </c>
      <c r="H95" s="11">
        <v>8.4116645161290311</v>
      </c>
      <c r="I95" s="12">
        <v>33.4</v>
      </c>
      <c r="J95" s="14">
        <v>14.3</v>
      </c>
      <c r="K95" s="14">
        <v>88</v>
      </c>
      <c r="L95" s="15">
        <v>66</v>
      </c>
      <c r="M95" s="13">
        <v>51</v>
      </c>
      <c r="N95" s="15">
        <v>66</v>
      </c>
      <c r="O95" s="16">
        <v>24</v>
      </c>
      <c r="P95" s="15">
        <v>78</v>
      </c>
      <c r="Q95" s="15">
        <v>74</v>
      </c>
      <c r="R95" s="22">
        <v>56.000000000000007</v>
      </c>
      <c r="S95" s="10">
        <v>71</v>
      </c>
      <c r="T95" s="42">
        <v>63.574188309981601</v>
      </c>
      <c r="U95" s="65">
        <v>0.29981000000000002</v>
      </c>
      <c r="V95" s="65">
        <v>0.25379299999999999</v>
      </c>
      <c r="W95" s="65">
        <v>0.30229600000000001</v>
      </c>
      <c r="X95" s="65">
        <v>0.75256199999999995</v>
      </c>
      <c r="Y95" s="65">
        <v>0.90124300000000002</v>
      </c>
      <c r="Z95" s="65">
        <v>0.51977700000000004</v>
      </c>
      <c r="AA95" s="65">
        <v>6.1608000000000003E-2</v>
      </c>
      <c r="AB95" s="65">
        <v>0.47390500000000002</v>
      </c>
      <c r="AC95" s="65">
        <v>0.38806600000000002</v>
      </c>
      <c r="AD95" s="65">
        <v>0.14078299999999999</v>
      </c>
      <c r="AE95" s="65">
        <v>0.35499199999999997</v>
      </c>
      <c r="AF95" s="65">
        <v>0.109725</v>
      </c>
      <c r="AG95" s="65">
        <v>0</v>
      </c>
      <c r="AH95" s="65">
        <v>0.374141</v>
      </c>
      <c r="AI95" s="65">
        <v>0.94296199999999997</v>
      </c>
      <c r="AJ95" s="65">
        <v>0.48297899999999999</v>
      </c>
      <c r="AK95" s="65">
        <v>0.55322000000000005</v>
      </c>
      <c r="AL95">
        <v>3.1273455091318501E-3</v>
      </c>
      <c r="AM95">
        <v>9.1651920732200423E-2</v>
      </c>
      <c r="AN95">
        <v>0.11399168595245179</v>
      </c>
      <c r="AO95">
        <v>0</v>
      </c>
      <c r="AP95">
        <v>0</v>
      </c>
      <c r="AQ95">
        <v>8.7767534512436067E-3</v>
      </c>
      <c r="AR95">
        <v>4.8036027020265212E-4</v>
      </c>
      <c r="AS95">
        <v>0.107233746103469</v>
      </c>
      <c r="AT95">
        <v>6.5365337541581844E-2</v>
      </c>
      <c r="AU95">
        <v>1.1008256192144111E-2</v>
      </c>
      <c r="AV95">
        <v>0.3442466043121073</v>
      </c>
      <c r="AW95">
        <v>0.14984878540535271</v>
      </c>
      <c r="AY95">
        <f t="shared" si="13"/>
        <v>0.31273455091318503</v>
      </c>
      <c r="AZ95">
        <f t="shared" si="14"/>
        <v>9.1651920732200427</v>
      </c>
      <c r="BA95">
        <f t="shared" si="15"/>
        <v>11.399168595245179</v>
      </c>
      <c r="BB95">
        <f t="shared" si="16"/>
        <v>0</v>
      </c>
      <c r="BC95">
        <f t="shared" si="17"/>
        <v>0</v>
      </c>
      <c r="BD95">
        <f t="shared" si="18"/>
        <v>0.87767534512436063</v>
      </c>
      <c r="BE95">
        <f t="shared" si="19"/>
        <v>4.8036027020265215E-2</v>
      </c>
      <c r="BF95">
        <f t="shared" si="20"/>
        <v>10.7233746103469</v>
      </c>
      <c r="BG95">
        <f t="shared" si="21"/>
        <v>6.5365337541581843</v>
      </c>
      <c r="BH95">
        <f t="shared" si="22"/>
        <v>1.100825619214411</v>
      </c>
      <c r="BI95">
        <f t="shared" si="23"/>
        <v>34.424660431210732</v>
      </c>
      <c r="BJ95">
        <f t="shared" si="24"/>
        <v>14.98487854053527</v>
      </c>
    </row>
    <row r="96" spans="1:62" ht="15.6" thickBot="1">
      <c r="A96" s="7" t="s">
        <v>186</v>
      </c>
      <c r="B96" s="9" t="s">
        <v>131</v>
      </c>
      <c r="C96" s="38" t="s">
        <v>60</v>
      </c>
      <c r="D96" s="35">
        <v>36.068895643363732</v>
      </c>
      <c r="E96" s="10">
        <v>182.1</v>
      </c>
      <c r="F96" s="10">
        <v>37.08206686930091</v>
      </c>
      <c r="G96" s="10">
        <v>26.849037487335359</v>
      </c>
      <c r="H96" s="11">
        <v>49.141791111111111</v>
      </c>
      <c r="I96" s="12">
        <v>52.7</v>
      </c>
      <c r="J96" s="14">
        <v>6.1</v>
      </c>
      <c r="K96" s="14">
        <v>96</v>
      </c>
      <c r="L96" s="15">
        <v>28.000000000000004</v>
      </c>
      <c r="M96" s="13">
        <v>68</v>
      </c>
      <c r="N96" s="15">
        <v>78</v>
      </c>
      <c r="O96" s="16">
        <v>22</v>
      </c>
      <c r="P96" s="15">
        <v>73</v>
      </c>
      <c r="Q96" s="15">
        <v>81</v>
      </c>
      <c r="R96" s="22">
        <v>71</v>
      </c>
      <c r="S96" s="10">
        <v>91</v>
      </c>
      <c r="T96" s="42">
        <v>63.365720667447945</v>
      </c>
      <c r="U96" s="65">
        <v>0.16803799999999999</v>
      </c>
      <c r="V96" s="65">
        <v>0.17654800000000001</v>
      </c>
      <c r="W96" s="65">
        <v>0.35256100000000001</v>
      </c>
      <c r="X96" s="65">
        <v>0.79491000000000001</v>
      </c>
      <c r="Y96" s="65">
        <v>0.94274999999999998</v>
      </c>
      <c r="Z96" s="65">
        <v>0.87783699999999998</v>
      </c>
      <c r="AA96" s="65">
        <v>0.13405500000000001</v>
      </c>
      <c r="AB96" s="65">
        <v>0.50587800000000005</v>
      </c>
      <c r="AC96" s="65">
        <v>0.37622800000000001</v>
      </c>
      <c r="AD96" s="65">
        <v>0.109667</v>
      </c>
      <c r="AE96" s="65">
        <v>0.385903</v>
      </c>
      <c r="AF96" s="65">
        <v>9.2745999999999995E-2</v>
      </c>
      <c r="AG96" s="65">
        <v>5.4580000000000002E-3</v>
      </c>
      <c r="AH96" s="65">
        <v>0.25133</v>
      </c>
      <c r="AI96" s="65">
        <v>0.94250999999999996</v>
      </c>
      <c r="AJ96" s="65">
        <v>0.63380599999999998</v>
      </c>
      <c r="AK96" s="65">
        <v>0.35565200000000002</v>
      </c>
      <c r="AL96">
        <v>2.257132538822679E-3</v>
      </c>
      <c r="AM96">
        <v>1.6595122051612819E-2</v>
      </c>
      <c r="AN96">
        <v>2.238038506063637E-2</v>
      </c>
      <c r="AO96">
        <v>0</v>
      </c>
      <c r="AP96">
        <v>0</v>
      </c>
      <c r="AQ96">
        <v>6.7647495216194642E-5</v>
      </c>
      <c r="AR96">
        <v>2.773564463705309E-3</v>
      </c>
      <c r="AS96">
        <v>3.8832947316804207E-2</v>
      </c>
      <c r="AT96">
        <v>0.13552070455208429</v>
      </c>
      <c r="AU96">
        <v>1.5890213073311669E-2</v>
      </c>
      <c r="AV96">
        <v>0.1246632775128645</v>
      </c>
      <c r="AW96">
        <v>0.1361148034614654</v>
      </c>
      <c r="AY96">
        <f t="shared" si="13"/>
        <v>0.2257132538822679</v>
      </c>
      <c r="AZ96">
        <f t="shared" si="14"/>
        <v>1.6595122051612818</v>
      </c>
      <c r="BA96">
        <f t="shared" si="15"/>
        <v>2.2380385060636372</v>
      </c>
      <c r="BB96">
        <f t="shared" si="16"/>
        <v>0</v>
      </c>
      <c r="BC96">
        <f t="shared" si="17"/>
        <v>0</v>
      </c>
      <c r="BD96">
        <f t="shared" si="18"/>
        <v>6.7647495216194642E-3</v>
      </c>
      <c r="BE96">
        <f t="shared" si="19"/>
        <v>0.27735644637053092</v>
      </c>
      <c r="BF96">
        <f t="shared" si="20"/>
        <v>3.8832947316804209</v>
      </c>
      <c r="BG96">
        <f t="shared" si="21"/>
        <v>13.552070455208428</v>
      </c>
      <c r="BH96">
        <f t="shared" si="22"/>
        <v>1.589021307331167</v>
      </c>
      <c r="BI96">
        <f t="shared" si="23"/>
        <v>12.46632775128645</v>
      </c>
      <c r="BJ96">
        <f t="shared" si="24"/>
        <v>13.611480346146539</v>
      </c>
    </row>
    <row r="97" spans="1:62" ht="15.6" thickBot="1">
      <c r="A97" s="6" t="s">
        <v>187</v>
      </c>
      <c r="B97" s="17" t="s">
        <v>95</v>
      </c>
      <c r="C97" s="37" t="s">
        <v>60</v>
      </c>
      <c r="D97" s="35">
        <v>36.068895643363732</v>
      </c>
      <c r="E97" s="10">
        <v>182.1</v>
      </c>
      <c r="F97" s="10">
        <v>37.08206686930091</v>
      </c>
      <c r="G97" s="10">
        <v>26.849037487335359</v>
      </c>
      <c r="H97" s="11">
        <v>28.241897619047617</v>
      </c>
      <c r="I97" s="12">
        <v>56.5</v>
      </c>
      <c r="J97" s="14">
        <v>5.6</v>
      </c>
      <c r="K97" s="14">
        <v>95</v>
      </c>
      <c r="L97" s="15">
        <v>17</v>
      </c>
      <c r="M97" s="13">
        <v>72</v>
      </c>
      <c r="N97" s="15">
        <v>75</v>
      </c>
      <c r="O97" s="16">
        <v>32</v>
      </c>
      <c r="P97" s="15">
        <v>75</v>
      </c>
      <c r="Q97" s="15">
        <v>81</v>
      </c>
      <c r="R97" s="22">
        <v>71</v>
      </c>
      <c r="S97" s="10">
        <v>92</v>
      </c>
      <c r="T97" s="42">
        <v>81.608768571573592</v>
      </c>
      <c r="U97" s="65">
        <v>0.180421</v>
      </c>
      <c r="V97" s="65">
        <v>0.15058299999999999</v>
      </c>
      <c r="W97" s="65">
        <v>0.32448900000000003</v>
      </c>
      <c r="X97" s="65">
        <v>0.77866299999999999</v>
      </c>
      <c r="Y97" s="65">
        <v>0.92919200000000002</v>
      </c>
      <c r="Z97" s="65">
        <v>0.89453000000000005</v>
      </c>
      <c r="AA97" s="65">
        <v>2.0545999999999998E-2</v>
      </c>
      <c r="AB97" s="65">
        <v>0.288435</v>
      </c>
      <c r="AC97" s="65">
        <v>0.22146299999999999</v>
      </c>
      <c r="AD97" s="65">
        <v>6.8824999999999997E-2</v>
      </c>
      <c r="AE97" s="65">
        <v>0.52501200000000003</v>
      </c>
      <c r="AF97" s="65">
        <v>0.14002500000000001</v>
      </c>
      <c r="AG97" s="65">
        <v>2.3819E-2</v>
      </c>
      <c r="AH97" s="65">
        <v>0.27834199999999998</v>
      </c>
      <c r="AI97" s="65">
        <v>0.93072100000000002</v>
      </c>
      <c r="AJ97" s="65">
        <v>0.52315299999999998</v>
      </c>
      <c r="AK97" s="65">
        <v>0.55710300000000001</v>
      </c>
      <c r="AL97">
        <v>1.269680040629761E-2</v>
      </c>
      <c r="AM97">
        <v>4.1569148035082472E-2</v>
      </c>
      <c r="AN97">
        <v>0.11454109881441769</v>
      </c>
      <c r="AO97">
        <v>4.0629761300152358E-3</v>
      </c>
      <c r="AP97">
        <v>1.385638267836083E-2</v>
      </c>
      <c r="AQ97">
        <v>1.342116843901159E-2</v>
      </c>
      <c r="AR97">
        <v>2.7628237684103611E-3</v>
      </c>
      <c r="AS97">
        <v>3.2424237488387138E-2</v>
      </c>
      <c r="AT97">
        <v>0.10377022441365601</v>
      </c>
      <c r="AU97">
        <v>2.23463687150838E-2</v>
      </c>
      <c r="AV97">
        <v>6.9393165605514659E-2</v>
      </c>
      <c r="AW97">
        <v>5.164618478006662E-2</v>
      </c>
      <c r="AY97">
        <f t="shared" si="13"/>
        <v>1.269680040629761</v>
      </c>
      <c r="AZ97">
        <f t="shared" si="14"/>
        <v>4.156914803508247</v>
      </c>
      <c r="BA97">
        <f t="shared" si="15"/>
        <v>11.45410988144177</v>
      </c>
      <c r="BB97">
        <f t="shared" si="16"/>
        <v>0.40629761300152356</v>
      </c>
      <c r="BC97">
        <f t="shared" si="17"/>
        <v>1.385638267836083</v>
      </c>
      <c r="BD97">
        <f t="shared" si="18"/>
        <v>1.342116843901159</v>
      </c>
      <c r="BE97">
        <f t="shared" si="19"/>
        <v>0.27628237684103613</v>
      </c>
      <c r="BF97">
        <f t="shared" si="20"/>
        <v>3.2424237488387138</v>
      </c>
      <c r="BG97">
        <f t="shared" si="21"/>
        <v>10.3770224413656</v>
      </c>
      <c r="BH97">
        <f t="shared" si="22"/>
        <v>2.2346368715083798</v>
      </c>
      <c r="BI97">
        <f t="shared" si="23"/>
        <v>6.9393165605514655</v>
      </c>
      <c r="BJ97">
        <f t="shared" si="24"/>
        <v>5.1646184780066617</v>
      </c>
    </row>
    <row r="98" spans="1:62" ht="15.6" thickBot="1">
      <c r="A98" s="7" t="s">
        <v>188</v>
      </c>
      <c r="B98" s="9" t="s">
        <v>131</v>
      </c>
      <c r="C98" s="38" t="s">
        <v>60</v>
      </c>
      <c r="D98" s="35">
        <v>36.068895643363732</v>
      </c>
      <c r="E98" s="10">
        <v>182.1</v>
      </c>
      <c r="F98" s="10">
        <v>37.08206686930091</v>
      </c>
      <c r="G98" s="10">
        <v>26.849037487335359</v>
      </c>
      <c r="H98" s="11">
        <v>71.440900000000013</v>
      </c>
      <c r="I98" s="12">
        <v>49.4</v>
      </c>
      <c r="J98" s="14">
        <v>6.5</v>
      </c>
      <c r="K98" s="14">
        <v>96</v>
      </c>
      <c r="L98" s="15">
        <v>28.000000000000004</v>
      </c>
      <c r="M98" s="13">
        <v>68</v>
      </c>
      <c r="N98" s="15">
        <v>78</v>
      </c>
      <c r="O98" s="16">
        <v>22</v>
      </c>
      <c r="P98" s="15">
        <v>73</v>
      </c>
      <c r="Q98" s="15">
        <v>81</v>
      </c>
      <c r="R98" s="22">
        <v>71</v>
      </c>
      <c r="S98" s="10">
        <v>91</v>
      </c>
      <c r="T98" s="42">
        <v>46.394896567334499</v>
      </c>
      <c r="U98" s="65">
        <v>0.309811</v>
      </c>
      <c r="V98" s="65">
        <v>0.27457500000000001</v>
      </c>
      <c r="W98" s="65">
        <v>0.45424900000000001</v>
      </c>
      <c r="X98" s="65">
        <v>0.75228300000000004</v>
      </c>
      <c r="Y98" s="65">
        <v>0.92871999999999999</v>
      </c>
      <c r="Z98" s="65">
        <v>0.78581599999999996</v>
      </c>
      <c r="AA98" s="65">
        <v>0.102962</v>
      </c>
      <c r="AB98" s="65">
        <v>0.51470300000000002</v>
      </c>
      <c r="AC98" s="65">
        <v>0.421987</v>
      </c>
      <c r="AD98" s="65">
        <v>0.125663</v>
      </c>
      <c r="AE98" s="65">
        <v>0.41110999999999998</v>
      </c>
      <c r="AF98" s="65">
        <v>0.10152</v>
      </c>
      <c r="AG98" s="65">
        <v>7.9869999999999993E-3</v>
      </c>
      <c r="AH98" s="65">
        <v>0.40297100000000002</v>
      </c>
      <c r="AI98" s="65">
        <v>0.92281599999999997</v>
      </c>
      <c r="AJ98" s="65">
        <v>0.51013299999999995</v>
      </c>
      <c r="AK98" s="65">
        <v>0.51773899999999995</v>
      </c>
      <c r="AL98">
        <v>1.609994848016486E-3</v>
      </c>
      <c r="AM98">
        <v>3.1517529761158111E-2</v>
      </c>
      <c r="AN98">
        <v>4.7948715397321318E-2</v>
      </c>
      <c r="AO98">
        <v>2.0607934054611022E-3</v>
      </c>
      <c r="AP98">
        <v>6.303505952231625E-2</v>
      </c>
      <c r="AQ98">
        <v>1.42737249271541E-2</v>
      </c>
      <c r="AR98">
        <v>2.5141679546625459E-3</v>
      </c>
      <c r="AS98">
        <v>7.37517066138067E-2</v>
      </c>
      <c r="AT98">
        <v>7.7846373318247772E-2</v>
      </c>
      <c r="AU98">
        <v>7.556242486690708E-3</v>
      </c>
      <c r="AV98">
        <v>7.8920350749561954E-2</v>
      </c>
      <c r="AW98">
        <v>4.3037609875594407E-2</v>
      </c>
      <c r="AY98">
        <f t="shared" si="13"/>
        <v>0.16099948480164861</v>
      </c>
      <c r="AZ98">
        <f t="shared" si="14"/>
        <v>3.151752976115811</v>
      </c>
      <c r="BA98">
        <f t="shared" si="15"/>
        <v>4.7948715397321315</v>
      </c>
      <c r="BB98">
        <f t="shared" si="16"/>
        <v>0.20607934054611021</v>
      </c>
      <c r="BC98">
        <f t="shared" si="17"/>
        <v>6.3035059522316246</v>
      </c>
      <c r="BD98">
        <f t="shared" si="18"/>
        <v>1.4273724927154099</v>
      </c>
      <c r="BE98">
        <f t="shared" si="19"/>
        <v>0.25141679546625462</v>
      </c>
      <c r="BF98">
        <f t="shared" si="20"/>
        <v>7.37517066138067</v>
      </c>
      <c r="BG98">
        <f t="shared" si="21"/>
        <v>7.7846373318247775</v>
      </c>
      <c r="BH98">
        <f t="shared" si="22"/>
        <v>0.75562424866907085</v>
      </c>
      <c r="BI98">
        <f t="shared" si="23"/>
        <v>7.8920350749561958</v>
      </c>
      <c r="BJ98">
        <f t="shared" si="24"/>
        <v>4.3037609875594409</v>
      </c>
    </row>
    <row r="99" spans="1:62" ht="15.6" thickBot="1">
      <c r="A99" s="6" t="s">
        <v>189</v>
      </c>
      <c r="B99" s="17" t="s">
        <v>131</v>
      </c>
      <c r="C99" s="37" t="s">
        <v>60</v>
      </c>
      <c r="D99" s="35">
        <v>36.068895643363732</v>
      </c>
      <c r="E99" s="10">
        <v>182.1</v>
      </c>
      <c r="F99" s="10">
        <v>37.08206686930091</v>
      </c>
      <c r="G99" s="10">
        <v>26.849037487335359</v>
      </c>
      <c r="H99" s="11">
        <v>11.944192173913043</v>
      </c>
      <c r="I99" s="12">
        <v>52.8</v>
      </c>
      <c r="J99" s="14">
        <v>6.6</v>
      </c>
      <c r="K99" s="14">
        <v>96</v>
      </c>
      <c r="L99" s="15">
        <v>28.000000000000004</v>
      </c>
      <c r="M99" s="13">
        <v>68</v>
      </c>
      <c r="N99" s="15">
        <v>78</v>
      </c>
      <c r="O99" s="16">
        <v>22</v>
      </c>
      <c r="P99" s="15">
        <v>73</v>
      </c>
      <c r="Q99" s="15">
        <v>81</v>
      </c>
      <c r="R99" s="22">
        <v>71</v>
      </c>
      <c r="S99" s="10">
        <v>91</v>
      </c>
      <c r="T99" s="42">
        <v>72.931646933311299</v>
      </c>
      <c r="U99" s="65">
        <v>0.25087900000000002</v>
      </c>
      <c r="V99" s="65">
        <v>0.193659</v>
      </c>
      <c r="W99" s="65">
        <v>0.29722700000000002</v>
      </c>
      <c r="X99" s="65">
        <v>0.68695099999999998</v>
      </c>
      <c r="Y99" s="65">
        <v>0.87281600000000004</v>
      </c>
      <c r="Z99" s="65">
        <v>0.82906599999999997</v>
      </c>
      <c r="AA99" s="65">
        <v>0.15443399999999999</v>
      </c>
      <c r="AB99" s="65">
        <v>0.591337</v>
      </c>
      <c r="AC99" s="65">
        <v>0.55405800000000005</v>
      </c>
      <c r="AD99" s="65">
        <v>0.20893</v>
      </c>
      <c r="AE99" s="65">
        <v>0.51119300000000001</v>
      </c>
      <c r="AF99" s="65">
        <v>0.16586400000000001</v>
      </c>
      <c r="AG99" s="65">
        <v>6.1130000000000004E-3</v>
      </c>
      <c r="AH99" s="65">
        <v>0.42708000000000002</v>
      </c>
      <c r="AI99" s="65">
        <v>0.93772999999999995</v>
      </c>
      <c r="AJ99" s="65">
        <v>0.394785</v>
      </c>
      <c r="AK99" s="65">
        <v>0.60215600000000002</v>
      </c>
      <c r="AL99">
        <v>1.654971534489607E-3</v>
      </c>
      <c r="AM99">
        <v>3.6550321655025607E-2</v>
      </c>
      <c r="AN99">
        <v>4.7496687970417381E-2</v>
      </c>
      <c r="AO99">
        <v>0</v>
      </c>
      <c r="AP99">
        <v>0</v>
      </c>
      <c r="AQ99">
        <v>1.168319156753965E-3</v>
      </c>
      <c r="AR99">
        <v>8.0497815437574486E-4</v>
      </c>
      <c r="AS99">
        <v>5.7019032895228208E-2</v>
      </c>
      <c r="AT99">
        <v>0.11821436925346809</v>
      </c>
      <c r="AU99">
        <v>7.7673330685378876E-3</v>
      </c>
      <c r="AV99">
        <v>9.1522534503285818E-2</v>
      </c>
      <c r="AW99">
        <v>9.937771798694528E-2</v>
      </c>
      <c r="AY99">
        <f t="shared" si="13"/>
        <v>0.16549715344896071</v>
      </c>
      <c r="AZ99">
        <f t="shared" si="14"/>
        <v>3.6550321655025608</v>
      </c>
      <c r="BA99">
        <f t="shared" si="15"/>
        <v>4.7496687970417382</v>
      </c>
      <c r="BB99">
        <f t="shared" si="16"/>
        <v>0</v>
      </c>
      <c r="BC99">
        <f t="shared" si="17"/>
        <v>0</v>
      </c>
      <c r="BD99">
        <f t="shared" si="18"/>
        <v>0.1168319156753965</v>
      </c>
      <c r="BE99">
        <f t="shared" si="19"/>
        <v>8.0497815437574491E-2</v>
      </c>
      <c r="BF99">
        <f t="shared" si="20"/>
        <v>5.7019032895228206</v>
      </c>
      <c r="BG99">
        <f t="shared" si="21"/>
        <v>11.821436925346809</v>
      </c>
      <c r="BH99">
        <f t="shared" si="22"/>
        <v>0.77673330685378872</v>
      </c>
      <c r="BI99">
        <f t="shared" si="23"/>
        <v>9.1522534503285815</v>
      </c>
      <c r="BJ99">
        <f t="shared" si="24"/>
        <v>9.9377717986945271</v>
      </c>
    </row>
    <row r="100" spans="1:62" ht="15.6" thickBot="1">
      <c r="A100" s="7" t="s">
        <v>190</v>
      </c>
      <c r="B100" s="9" t="s">
        <v>131</v>
      </c>
      <c r="C100" s="38" t="s">
        <v>60</v>
      </c>
      <c r="D100" s="35">
        <v>36.068895643363732</v>
      </c>
      <c r="E100" s="10">
        <v>182.1</v>
      </c>
      <c r="F100" s="10">
        <v>37.08206686930091</v>
      </c>
      <c r="G100" s="10">
        <v>26.849037487335359</v>
      </c>
      <c r="H100" s="11">
        <v>15.376525531914892</v>
      </c>
      <c r="I100" s="12">
        <v>55.3</v>
      </c>
      <c r="J100" s="14">
        <v>5.7</v>
      </c>
      <c r="K100" s="14">
        <v>96</v>
      </c>
      <c r="L100" s="15">
        <v>28.000000000000004</v>
      </c>
      <c r="M100" s="13">
        <v>68</v>
      </c>
      <c r="N100" s="15">
        <v>78</v>
      </c>
      <c r="O100" s="16">
        <v>22</v>
      </c>
      <c r="P100" s="15">
        <v>73</v>
      </c>
      <c r="Q100" s="15">
        <v>81</v>
      </c>
      <c r="R100" s="22">
        <v>71</v>
      </c>
      <c r="S100" s="10">
        <v>91</v>
      </c>
      <c r="T100" s="42">
        <v>55.309618422172903</v>
      </c>
      <c r="U100" s="65">
        <v>0.29197499999999998</v>
      </c>
      <c r="V100" s="65">
        <v>0.246091</v>
      </c>
      <c r="W100" s="65">
        <v>0.41172700000000001</v>
      </c>
      <c r="X100" s="65">
        <v>0.79995400000000005</v>
      </c>
      <c r="Y100" s="65">
        <v>0.94483700000000004</v>
      </c>
      <c r="Z100" s="65">
        <v>0.801346</v>
      </c>
      <c r="AA100" s="65">
        <v>0.37156400000000001</v>
      </c>
      <c r="AB100" s="65">
        <v>0.326928</v>
      </c>
      <c r="AC100" s="65">
        <v>0.238951</v>
      </c>
      <c r="AD100" s="65">
        <v>6.8407999999999997E-2</v>
      </c>
      <c r="AE100" s="65">
        <v>0.60263100000000003</v>
      </c>
      <c r="AF100" s="65">
        <v>0.147643</v>
      </c>
      <c r="AG100" s="65">
        <v>1.6472000000000001E-2</v>
      </c>
      <c r="AH100" s="65">
        <v>0.29254999999999998</v>
      </c>
      <c r="AI100" s="65">
        <v>0.92935500000000004</v>
      </c>
      <c r="AJ100" s="65">
        <v>0.53520900000000005</v>
      </c>
      <c r="AK100" s="65">
        <v>0.49685299999999999</v>
      </c>
      <c r="AL100">
        <v>0</v>
      </c>
      <c r="AM100">
        <v>0</v>
      </c>
      <c r="AN100">
        <v>6.0233611930191978E-2</v>
      </c>
      <c r="AO100">
        <v>0</v>
      </c>
      <c r="AP100">
        <v>0</v>
      </c>
      <c r="AQ100">
        <v>7.7482778050621762E-3</v>
      </c>
      <c r="AR100">
        <v>6.2663185378590081E-4</v>
      </c>
      <c r="AS100">
        <v>8.8390900704294284E-2</v>
      </c>
      <c r="AT100">
        <v>9.9404932781245875E-2</v>
      </c>
      <c r="AU100">
        <v>5.7441253263707567E-2</v>
      </c>
      <c r="AV100">
        <v>0.18917096856296189</v>
      </c>
      <c r="AW100">
        <v>0.45036222982080582</v>
      </c>
      <c r="AY100">
        <f t="shared" si="13"/>
        <v>0</v>
      </c>
      <c r="AZ100">
        <f t="shared" si="14"/>
        <v>0</v>
      </c>
      <c r="BA100">
        <f t="shared" si="15"/>
        <v>6.0233611930191975</v>
      </c>
      <c r="BB100">
        <f t="shared" si="16"/>
        <v>0</v>
      </c>
      <c r="BC100">
        <f t="shared" si="17"/>
        <v>0</v>
      </c>
      <c r="BD100">
        <f t="shared" si="18"/>
        <v>0.77482778050621759</v>
      </c>
      <c r="BE100">
        <f t="shared" si="19"/>
        <v>6.2663185378590086E-2</v>
      </c>
      <c r="BF100">
        <f t="shared" si="20"/>
        <v>8.8390900704294282</v>
      </c>
      <c r="BG100">
        <f t="shared" si="21"/>
        <v>9.9404932781245883</v>
      </c>
      <c r="BH100">
        <f t="shared" si="22"/>
        <v>5.7441253263707566</v>
      </c>
      <c r="BI100">
        <f t="shared" si="23"/>
        <v>18.91709685629619</v>
      </c>
      <c r="BJ100">
        <f t="shared" si="24"/>
        <v>45.036222982080581</v>
      </c>
    </row>
    <row r="101" spans="1:62" ht="15.6" thickBot="1">
      <c r="A101" s="6" t="s">
        <v>191</v>
      </c>
      <c r="B101" s="17" t="s">
        <v>120</v>
      </c>
      <c r="C101" s="37" t="s">
        <v>108</v>
      </c>
      <c r="D101" s="35">
        <v>34.545454545454547</v>
      </c>
      <c r="E101" s="10">
        <v>34.799999999999997</v>
      </c>
      <c r="F101" s="10">
        <v>12.727272727272727</v>
      </c>
      <c r="G101" s="10">
        <v>52.72727272727272</v>
      </c>
      <c r="H101" s="11">
        <v>14.260400000000001</v>
      </c>
      <c r="I101" s="12">
        <v>37.1</v>
      </c>
      <c r="J101" s="14">
        <v>7.9</v>
      </c>
      <c r="K101" s="14">
        <v>96</v>
      </c>
      <c r="L101" s="15">
        <v>38</v>
      </c>
      <c r="M101" s="13">
        <v>62</v>
      </c>
      <c r="N101" s="15">
        <v>78</v>
      </c>
      <c r="O101" s="16">
        <v>34</v>
      </c>
      <c r="P101" s="15">
        <v>64</v>
      </c>
      <c r="Q101" s="15">
        <v>70</v>
      </c>
      <c r="R101" s="22">
        <v>70</v>
      </c>
      <c r="S101" s="10">
        <v>84</v>
      </c>
      <c r="T101" s="42">
        <v>81.5685604549667</v>
      </c>
      <c r="U101" s="65">
        <v>0.55345800000000001</v>
      </c>
      <c r="V101" s="65">
        <v>0.30072300000000002</v>
      </c>
      <c r="W101" s="65">
        <v>0.48144799999999999</v>
      </c>
      <c r="X101" s="65">
        <v>0.64099600000000001</v>
      </c>
      <c r="Y101" s="65">
        <v>0.91606799999999999</v>
      </c>
      <c r="Z101" s="65">
        <v>0.92467299999999997</v>
      </c>
      <c r="AA101" s="65">
        <v>0.81838699999999998</v>
      </c>
      <c r="AB101" s="65">
        <v>0.69655400000000001</v>
      </c>
      <c r="AC101" s="65">
        <v>0.70994699999999999</v>
      </c>
      <c r="AD101" s="65">
        <v>0.18819</v>
      </c>
      <c r="AE101" s="65">
        <v>0.57827899999999999</v>
      </c>
      <c r="AF101" s="65">
        <v>0.12651000000000001</v>
      </c>
      <c r="AG101" s="65">
        <v>5.2231E-2</v>
      </c>
      <c r="AH101" s="65">
        <v>0.44164900000000001</v>
      </c>
      <c r="AI101" s="65">
        <v>0.96891400000000005</v>
      </c>
      <c r="AJ101" s="65">
        <v>0.56159199999999998</v>
      </c>
      <c r="AK101" s="65">
        <v>0.55493800000000004</v>
      </c>
      <c r="AL101">
        <v>6.7410882812921329E-4</v>
      </c>
      <c r="AM101">
        <v>0.14927367434909231</v>
      </c>
      <c r="AN101">
        <v>0.79173666269795928</v>
      </c>
      <c r="AO101">
        <v>8.6285930000539292E-4</v>
      </c>
      <c r="AP101">
        <v>0.29854734869818461</v>
      </c>
      <c r="AQ101">
        <v>0.30519548937623892</v>
      </c>
      <c r="AR101">
        <v>3.9691527800248081E-4</v>
      </c>
      <c r="AS101">
        <v>0.46573820216611811</v>
      </c>
      <c r="AT101">
        <v>0.70934709427724796</v>
      </c>
      <c r="AU101">
        <v>3.1638174333531071E-3</v>
      </c>
      <c r="AV101">
        <v>0.74756688272091099</v>
      </c>
      <c r="AW101">
        <v>0.95880689007485054</v>
      </c>
      <c r="AY101">
        <f t="shared" si="13"/>
        <v>6.7410882812921333E-2</v>
      </c>
      <c r="AZ101">
        <f t="shared" si="14"/>
        <v>14.927367434909231</v>
      </c>
      <c r="BA101">
        <f t="shared" si="15"/>
        <v>79.17366626979593</v>
      </c>
      <c r="BB101">
        <f t="shared" si="16"/>
        <v>8.6285930000539288E-2</v>
      </c>
      <c r="BC101">
        <f t="shared" si="17"/>
        <v>29.854734869818461</v>
      </c>
      <c r="BD101">
        <f t="shared" si="18"/>
        <v>30.519548937623892</v>
      </c>
      <c r="BE101">
        <f t="shared" si="19"/>
        <v>3.969152780024808E-2</v>
      </c>
      <c r="BF101">
        <f t="shared" si="20"/>
        <v>46.573820216611814</v>
      </c>
      <c r="BG101">
        <f t="shared" si="21"/>
        <v>70.934709427724798</v>
      </c>
      <c r="BH101">
        <f t="shared" si="22"/>
        <v>0.31638174333531072</v>
      </c>
      <c r="BI101">
        <f t="shared" si="23"/>
        <v>74.756688272091097</v>
      </c>
      <c r="BJ101">
        <f t="shared" si="24"/>
        <v>95.88068900748506</v>
      </c>
    </row>
    <row r="102" spans="1:62" ht="15.6" thickBot="1">
      <c r="A102" s="7" t="s">
        <v>192</v>
      </c>
      <c r="B102" s="9" t="s">
        <v>179</v>
      </c>
      <c r="C102" s="38" t="s">
        <v>108</v>
      </c>
      <c r="D102" s="35">
        <v>34.545454545454547</v>
      </c>
      <c r="E102" s="10">
        <v>34.799999999999997</v>
      </c>
      <c r="F102" s="10">
        <v>12.727272727272727</v>
      </c>
      <c r="G102" s="10">
        <v>52.72727272727272</v>
      </c>
      <c r="H102" s="11">
        <v>18.598231034482758</v>
      </c>
      <c r="I102" s="12">
        <v>50.5</v>
      </c>
      <c r="J102" s="14">
        <v>9.4</v>
      </c>
      <c r="K102" s="14">
        <v>98</v>
      </c>
      <c r="L102" s="15">
        <v>10</v>
      </c>
      <c r="M102" s="13">
        <v>78</v>
      </c>
      <c r="N102" s="15">
        <v>89</v>
      </c>
      <c r="O102" s="16">
        <v>24</v>
      </c>
      <c r="P102" s="15">
        <v>78</v>
      </c>
      <c r="Q102" s="15">
        <v>71</v>
      </c>
      <c r="R102" s="22">
        <v>70</v>
      </c>
      <c r="S102" s="10">
        <v>80</v>
      </c>
      <c r="T102" s="42">
        <v>79.930700225707994</v>
      </c>
      <c r="U102" s="65">
        <v>0.122779</v>
      </c>
      <c r="V102" s="65">
        <v>9.5254000000000005E-2</v>
      </c>
      <c r="W102" s="65">
        <v>0.201184</v>
      </c>
      <c r="X102" s="65">
        <v>0.72184199999999998</v>
      </c>
      <c r="Y102" s="65">
        <v>0.92775300000000005</v>
      </c>
      <c r="Z102" s="65">
        <v>0.57086999999999999</v>
      </c>
      <c r="AA102" s="65">
        <v>0.122526</v>
      </c>
      <c r="AB102" s="65">
        <v>0.30430600000000002</v>
      </c>
      <c r="AC102" s="65">
        <v>0.26494000000000001</v>
      </c>
      <c r="AD102" s="65">
        <v>7.3636999999999994E-2</v>
      </c>
      <c r="AE102" s="65">
        <v>0.282389</v>
      </c>
      <c r="AF102" s="65">
        <v>6.2835000000000002E-2</v>
      </c>
      <c r="AG102" s="65">
        <v>3.5903999999999998E-2</v>
      </c>
      <c r="AH102" s="65">
        <v>0.344499</v>
      </c>
      <c r="AI102" s="65">
        <v>0.57369599999999998</v>
      </c>
      <c r="AJ102" s="65">
        <v>0.51447799999999999</v>
      </c>
      <c r="AK102" s="65">
        <v>0.67164900000000005</v>
      </c>
      <c r="AL102">
        <v>4.2881646655231562E-3</v>
      </c>
      <c r="AM102">
        <v>1.6738139454613599E-2</v>
      </c>
      <c r="AN102">
        <v>3.0042151449418259E-2</v>
      </c>
      <c r="AO102">
        <v>0</v>
      </c>
      <c r="AP102">
        <v>0</v>
      </c>
      <c r="AQ102">
        <v>1.547216818345724E-3</v>
      </c>
      <c r="AR102">
        <v>6.6963979416809613E-3</v>
      </c>
      <c r="AS102">
        <v>5.2223481542811707E-2</v>
      </c>
      <c r="AT102">
        <v>0.21014675672852609</v>
      </c>
      <c r="AU102">
        <v>4.0251572327044023E-2</v>
      </c>
      <c r="AV102">
        <v>0.12573763045489211</v>
      </c>
      <c r="AW102">
        <v>0.18121594187413179</v>
      </c>
      <c r="AY102">
        <f t="shared" si="13"/>
        <v>0.42881646655231564</v>
      </c>
      <c r="AZ102">
        <f t="shared" si="14"/>
        <v>1.6738139454613599</v>
      </c>
      <c r="BA102">
        <f t="shared" si="15"/>
        <v>3.004215144941826</v>
      </c>
      <c r="BB102">
        <f t="shared" si="16"/>
        <v>0</v>
      </c>
      <c r="BC102">
        <f t="shared" si="17"/>
        <v>0</v>
      </c>
      <c r="BD102">
        <f t="shared" si="18"/>
        <v>0.15472168183457241</v>
      </c>
      <c r="BE102">
        <f t="shared" si="19"/>
        <v>0.66963979416809616</v>
      </c>
      <c r="BF102">
        <f t="shared" si="20"/>
        <v>5.2223481542811712</v>
      </c>
      <c r="BG102">
        <f t="shared" si="21"/>
        <v>21.014675672852608</v>
      </c>
      <c r="BH102">
        <f t="shared" si="22"/>
        <v>4.0251572327044025</v>
      </c>
      <c r="BI102">
        <f t="shared" si="23"/>
        <v>12.573763045489212</v>
      </c>
      <c r="BJ102">
        <f t="shared" si="24"/>
        <v>18.12159418741318</v>
      </c>
    </row>
    <row r="103" spans="1:62" ht="15.6" thickBot="1">
      <c r="A103" s="6" t="s">
        <v>193</v>
      </c>
      <c r="B103" s="17" t="s">
        <v>53</v>
      </c>
      <c r="C103" s="37" t="s">
        <v>54</v>
      </c>
      <c r="D103" s="35">
        <v>35.483870967741936</v>
      </c>
      <c r="E103" s="10">
        <v>49.5</v>
      </c>
      <c r="F103" s="10">
        <v>17.419354838709676</v>
      </c>
      <c r="G103" s="10">
        <v>47.096774193548384</v>
      </c>
      <c r="H103" s="11">
        <v>4.2084263157894739</v>
      </c>
      <c r="I103" s="12">
        <v>33.200000000000003</v>
      </c>
      <c r="J103" s="14">
        <v>11.3</v>
      </c>
      <c r="K103" s="14">
        <v>97</v>
      </c>
      <c r="L103" s="15">
        <v>38</v>
      </c>
      <c r="M103" s="15">
        <v>67</v>
      </c>
      <c r="N103" s="15">
        <v>84</v>
      </c>
      <c r="O103" s="16">
        <v>31</v>
      </c>
      <c r="P103" s="15">
        <v>74</v>
      </c>
      <c r="Q103" s="15">
        <v>78</v>
      </c>
      <c r="R103" s="22">
        <v>62</v>
      </c>
      <c r="S103" s="10">
        <v>79</v>
      </c>
      <c r="T103" s="42">
        <v>86.754779920939399</v>
      </c>
      <c r="U103" s="65">
        <v>0.28994199999999998</v>
      </c>
      <c r="V103" s="65">
        <v>0.29313699999999998</v>
      </c>
      <c r="W103" s="65">
        <v>1</v>
      </c>
      <c r="X103" s="65">
        <v>0.84101700000000001</v>
      </c>
      <c r="Y103" s="65">
        <v>1</v>
      </c>
      <c r="Z103" s="65">
        <v>0.81524399999999997</v>
      </c>
      <c r="AA103" s="65">
        <v>0.93064599999999997</v>
      </c>
      <c r="AB103" s="65">
        <v>0.76482700000000003</v>
      </c>
      <c r="AC103" s="65">
        <v>0.50794600000000001</v>
      </c>
      <c r="AD103" s="65">
        <v>8.2736000000000004E-2</v>
      </c>
      <c r="AE103" s="65">
        <v>0.30144599999999999</v>
      </c>
      <c r="AF103" s="65">
        <v>3.1008000000000001E-2</v>
      </c>
      <c r="AG103" s="65">
        <v>2.0445000000000001E-2</v>
      </c>
      <c r="AH103" s="65">
        <v>0.237598</v>
      </c>
      <c r="AI103" s="65">
        <v>0.93709699999999996</v>
      </c>
      <c r="AJ103" s="65">
        <v>0.68970200000000004</v>
      </c>
      <c r="AK103" s="65">
        <v>0.57118199999999997</v>
      </c>
      <c r="AL103">
        <v>1.5033072760072159E-3</v>
      </c>
      <c r="AM103">
        <v>0.11561461287066981</v>
      </c>
      <c r="AN103">
        <v>0.30575983634022891</v>
      </c>
      <c r="AO103">
        <v>9.6211665664461819E-4</v>
      </c>
      <c r="AP103">
        <v>0.11561461287066981</v>
      </c>
      <c r="AQ103">
        <v>7.532832748468489E-2</v>
      </c>
      <c r="AR103">
        <v>1.2315093205051109E-3</v>
      </c>
      <c r="AS103">
        <v>0.27054071411442882</v>
      </c>
      <c r="AT103">
        <v>0.78107630942261164</v>
      </c>
      <c r="AU103">
        <v>7.0555221487271997E-3</v>
      </c>
      <c r="AV103">
        <v>0.57900132838283769</v>
      </c>
      <c r="AW103">
        <v>0.1395836247068529</v>
      </c>
      <c r="AY103">
        <f t="shared" si="13"/>
        <v>0.15033072760072158</v>
      </c>
      <c r="AZ103">
        <f t="shared" si="14"/>
        <v>11.561461287066981</v>
      </c>
      <c r="BA103">
        <f t="shared" si="15"/>
        <v>30.57598363402289</v>
      </c>
      <c r="BB103">
        <f t="shared" si="16"/>
        <v>9.6211665664461821E-2</v>
      </c>
      <c r="BC103">
        <f t="shared" si="17"/>
        <v>11.561461287066981</v>
      </c>
      <c r="BD103">
        <f t="shared" si="18"/>
        <v>7.5328327484684889</v>
      </c>
      <c r="BE103">
        <f t="shared" si="19"/>
        <v>0.1231509320505111</v>
      </c>
      <c r="BF103">
        <f t="shared" si="20"/>
        <v>27.05407141144288</v>
      </c>
      <c r="BG103">
        <f t="shared" si="21"/>
        <v>78.107630942261167</v>
      </c>
      <c r="BH103">
        <f t="shared" si="22"/>
        <v>0.70555221487272002</v>
      </c>
      <c r="BI103">
        <f t="shared" si="23"/>
        <v>57.900132838283767</v>
      </c>
      <c r="BJ103">
        <f t="shared" si="24"/>
        <v>13.958362470685289</v>
      </c>
    </row>
    <row r="104" spans="1:62" ht="15.6" thickBot="1">
      <c r="A104" s="7" t="s">
        <v>194</v>
      </c>
      <c r="B104" s="9" t="s">
        <v>97</v>
      </c>
      <c r="C104" s="38" t="s">
        <v>98</v>
      </c>
      <c r="D104" s="35">
        <v>34.632034632034632</v>
      </c>
      <c r="E104" s="10">
        <v>50.2</v>
      </c>
      <c r="F104" s="10">
        <v>22.943722943722943</v>
      </c>
      <c r="G104" s="10">
        <v>42.424242424242422</v>
      </c>
      <c r="H104" s="11">
        <v>5.1900095238095236</v>
      </c>
      <c r="I104" s="12">
        <v>38.200000000000003</v>
      </c>
      <c r="J104" s="14">
        <v>12.2</v>
      </c>
      <c r="K104" s="14">
        <v>96</v>
      </c>
      <c r="L104" s="15">
        <v>25</v>
      </c>
      <c r="M104" s="13">
        <v>75</v>
      </c>
      <c r="N104" s="15">
        <v>80</v>
      </c>
      <c r="O104" s="16">
        <v>28.999999999999996</v>
      </c>
      <c r="P104" s="15">
        <v>82</v>
      </c>
      <c r="Q104" s="15">
        <v>76</v>
      </c>
      <c r="R104" s="22">
        <v>60</v>
      </c>
      <c r="S104" s="10">
        <v>100</v>
      </c>
      <c r="T104" s="42">
        <v>62.615651813445503</v>
      </c>
      <c r="U104" s="65">
        <v>0.23119600000000001</v>
      </c>
      <c r="V104" s="65">
        <v>0.23269599999999999</v>
      </c>
      <c r="W104" s="65">
        <v>0.21146599999999999</v>
      </c>
      <c r="X104" s="65">
        <v>0.86692000000000002</v>
      </c>
      <c r="Y104" s="65">
        <v>0.89459500000000003</v>
      </c>
      <c r="Z104" s="65">
        <v>0.49851299999999998</v>
      </c>
      <c r="AA104" s="65">
        <v>0.158887</v>
      </c>
      <c r="AB104" s="65">
        <v>0.41840100000000002</v>
      </c>
      <c r="AC104" s="65">
        <v>0.25667400000000001</v>
      </c>
      <c r="AD104" s="65">
        <v>0.12939999999999999</v>
      </c>
      <c r="AE104" s="65">
        <v>0.14008000000000001</v>
      </c>
      <c r="AF104" s="65">
        <v>6.5128000000000005E-2</v>
      </c>
      <c r="AG104" s="65">
        <v>7.1774000000000004E-2</v>
      </c>
      <c r="AH104" s="65">
        <v>0.31058999999999998</v>
      </c>
      <c r="AI104" s="65">
        <v>0.85511700000000002</v>
      </c>
      <c r="AJ104" s="65">
        <v>6.9086999999999996E-2</v>
      </c>
      <c r="AK104" s="65">
        <v>0.19698499999999999</v>
      </c>
      <c r="AL104">
        <v>0</v>
      </c>
      <c r="AM104">
        <v>0</v>
      </c>
      <c r="AN104">
        <v>8.4111735800610904E-2</v>
      </c>
      <c r="AO104">
        <v>0</v>
      </c>
      <c r="AP104">
        <v>0</v>
      </c>
      <c r="AQ104">
        <v>8.5263455194942456E-3</v>
      </c>
      <c r="AR104">
        <v>2.251806770635223E-3</v>
      </c>
      <c r="AS104">
        <v>0.1861170206422704</v>
      </c>
      <c r="AT104">
        <v>0.32417792854407168</v>
      </c>
      <c r="AU104">
        <v>5.5788005578800556E-3</v>
      </c>
      <c r="AV104">
        <v>0.19916041572388091</v>
      </c>
      <c r="AW104">
        <v>6.2521942209943046E-2</v>
      </c>
      <c r="AY104">
        <f t="shared" si="13"/>
        <v>0</v>
      </c>
      <c r="AZ104">
        <f t="shared" si="14"/>
        <v>0</v>
      </c>
      <c r="BA104">
        <f t="shared" si="15"/>
        <v>8.4111735800610905</v>
      </c>
      <c r="BB104">
        <f t="shared" si="16"/>
        <v>0</v>
      </c>
      <c r="BC104">
        <f t="shared" si="17"/>
        <v>0</v>
      </c>
      <c r="BD104">
        <f t="shared" si="18"/>
        <v>0.85263455194942461</v>
      </c>
      <c r="BE104">
        <f t="shared" si="19"/>
        <v>0.22518067706352229</v>
      </c>
      <c r="BF104">
        <f t="shared" si="20"/>
        <v>18.611702064227039</v>
      </c>
      <c r="BG104">
        <f t="shared" si="21"/>
        <v>32.417792854407168</v>
      </c>
      <c r="BH104">
        <f t="shared" si="22"/>
        <v>0.55788005578800559</v>
      </c>
      <c r="BI104">
        <f t="shared" si="23"/>
        <v>19.916041572388092</v>
      </c>
      <c r="BJ104">
        <f t="shared" si="24"/>
        <v>6.2521942209943049</v>
      </c>
    </row>
    <row r="105" spans="1:62" ht="15.6" thickBot="1">
      <c r="A105" s="6" t="s">
        <v>195</v>
      </c>
      <c r="B105" s="17" t="s">
        <v>72</v>
      </c>
      <c r="C105" s="37" t="s">
        <v>73</v>
      </c>
      <c r="D105" s="35">
        <v>17.20430107526882</v>
      </c>
      <c r="E105" s="10">
        <v>11.3</v>
      </c>
      <c r="F105" s="10">
        <v>16.129032258064516</v>
      </c>
      <c r="G105" s="10">
        <v>66.666666666666657</v>
      </c>
      <c r="H105" s="11">
        <v>2.9407967741935481</v>
      </c>
      <c r="I105" s="12">
        <v>27.3</v>
      </c>
      <c r="J105" s="14">
        <v>11.5</v>
      </c>
      <c r="K105" s="14">
        <v>92</v>
      </c>
      <c r="L105" s="15">
        <v>61</v>
      </c>
      <c r="M105" s="13">
        <v>55</v>
      </c>
      <c r="N105" s="15">
        <v>80</v>
      </c>
      <c r="O105" s="16">
        <v>42</v>
      </c>
      <c r="P105" s="15">
        <v>56.999999999999993</v>
      </c>
      <c r="Q105" s="15">
        <v>56.999999999999993</v>
      </c>
      <c r="R105" s="22">
        <v>32</v>
      </c>
      <c r="S105" s="10">
        <v>84</v>
      </c>
      <c r="T105" s="42">
        <v>58.251568550279856</v>
      </c>
      <c r="U105" s="65">
        <v>0.34618900000000002</v>
      </c>
      <c r="V105" s="65">
        <v>0.39329199999999997</v>
      </c>
      <c r="W105" s="65">
        <v>0.46798400000000001</v>
      </c>
      <c r="X105" s="65">
        <v>0.79611699999999996</v>
      </c>
      <c r="Y105" s="65">
        <v>0.948125</v>
      </c>
      <c r="Z105" s="65">
        <v>1</v>
      </c>
      <c r="AA105" s="65">
        <v>5.1679999999999997E-2</v>
      </c>
      <c r="AB105" s="65">
        <v>0.93658399999999997</v>
      </c>
      <c r="AC105" s="65">
        <v>0.69749700000000003</v>
      </c>
      <c r="AD105" s="65">
        <v>0.19603599999999999</v>
      </c>
      <c r="AE105" s="65">
        <v>0.301483</v>
      </c>
      <c r="AF105" s="65">
        <v>6.6918000000000005E-2</v>
      </c>
      <c r="AG105" s="65">
        <v>5.1179000000000002E-2</v>
      </c>
      <c r="AH105" s="65">
        <v>0.29705900000000002</v>
      </c>
      <c r="AI105" s="65">
        <v>0.96951200000000004</v>
      </c>
      <c r="AJ105" s="65">
        <v>0.580515</v>
      </c>
      <c r="AK105" s="65">
        <v>0.49167499999999997</v>
      </c>
      <c r="AL105">
        <v>3.9180858844425868E-3</v>
      </c>
      <c r="AM105">
        <v>0.39625229850927102</v>
      </c>
      <c r="AN105">
        <v>0.87695513186436802</v>
      </c>
      <c r="AO105">
        <v>5.0151499320865113E-3</v>
      </c>
      <c r="AP105">
        <v>0.59437844776390658</v>
      </c>
      <c r="AQ105">
        <v>0.71945247399114032</v>
      </c>
      <c r="AR105">
        <v>3.3434332880576741E-4</v>
      </c>
      <c r="AS105">
        <v>0.30907967181190721</v>
      </c>
      <c r="AT105">
        <v>0.33758995343586851</v>
      </c>
      <c r="AU105">
        <v>3.0648138473862011E-3</v>
      </c>
      <c r="AV105">
        <v>0.4961107456811471</v>
      </c>
      <c r="AW105">
        <v>0.25865711398916141</v>
      </c>
      <c r="AY105">
        <f t="shared" si="13"/>
        <v>0.3918085884442587</v>
      </c>
      <c r="AZ105">
        <f t="shared" si="14"/>
        <v>39.625229850927099</v>
      </c>
      <c r="BA105">
        <f t="shared" si="15"/>
        <v>87.695513186436798</v>
      </c>
      <c r="BB105">
        <f t="shared" si="16"/>
        <v>0.50151499320865112</v>
      </c>
      <c r="BC105">
        <f t="shared" si="17"/>
        <v>59.437844776390655</v>
      </c>
      <c r="BD105">
        <f t="shared" si="18"/>
        <v>71.945247399114038</v>
      </c>
      <c r="BE105">
        <f t="shared" si="19"/>
        <v>3.3434332880576741E-2</v>
      </c>
      <c r="BF105">
        <f t="shared" si="20"/>
        <v>30.90796718119072</v>
      </c>
      <c r="BG105">
        <f t="shared" si="21"/>
        <v>33.758995343586854</v>
      </c>
      <c r="BH105">
        <f t="shared" si="22"/>
        <v>0.30648138473862013</v>
      </c>
      <c r="BI105">
        <f t="shared" si="23"/>
        <v>49.611074568114709</v>
      </c>
      <c r="BJ105">
        <f t="shared" si="24"/>
        <v>25.86571139891614</v>
      </c>
    </row>
    <row r="106" spans="1:62" ht="15.6" thickBot="1">
      <c r="A106" s="7" t="s">
        <v>196</v>
      </c>
      <c r="B106" s="9" t="s">
        <v>158</v>
      </c>
      <c r="C106" s="38" t="s">
        <v>54</v>
      </c>
      <c r="D106" s="35">
        <v>35.483870967741936</v>
      </c>
      <c r="E106" s="10">
        <v>49.5</v>
      </c>
      <c r="F106" s="10">
        <v>17.419354838709676</v>
      </c>
      <c r="G106" s="10">
        <v>47.096774193548384</v>
      </c>
      <c r="H106" s="11">
        <v>7.6952046874999995</v>
      </c>
      <c r="I106" s="12">
        <v>61.5</v>
      </c>
      <c r="J106" s="14">
        <v>9</v>
      </c>
      <c r="K106" s="14">
        <v>98</v>
      </c>
      <c r="L106" s="15">
        <v>12</v>
      </c>
      <c r="M106" s="13">
        <v>80</v>
      </c>
      <c r="N106" s="15">
        <v>78</v>
      </c>
      <c r="O106" s="16">
        <v>27</v>
      </c>
      <c r="P106" s="15">
        <v>83</v>
      </c>
      <c r="Q106" s="15">
        <v>83</v>
      </c>
      <c r="R106" s="22">
        <v>62</v>
      </c>
      <c r="S106" s="10">
        <v>85</v>
      </c>
      <c r="T106" s="42">
        <v>94.109337106571203</v>
      </c>
      <c r="U106" s="65">
        <v>0.357238</v>
      </c>
      <c r="V106" s="65">
        <v>0.18196799999999999</v>
      </c>
      <c r="W106" s="65">
        <v>0.31884699999999999</v>
      </c>
      <c r="X106" s="65">
        <v>0.63010100000000002</v>
      </c>
      <c r="Y106" s="65">
        <v>0.91803100000000004</v>
      </c>
      <c r="Z106" s="65">
        <v>0.41738999999999998</v>
      </c>
      <c r="AA106" s="65">
        <v>0.159663</v>
      </c>
      <c r="AB106" s="65">
        <v>0.43929299999999999</v>
      </c>
      <c r="AC106" s="65">
        <v>0.45566899999999999</v>
      </c>
      <c r="AD106" s="65">
        <v>0.11595</v>
      </c>
      <c r="AE106" s="65">
        <v>0.46016600000000002</v>
      </c>
      <c r="AF106" s="65">
        <v>9.5116999999999993E-2</v>
      </c>
      <c r="AG106" s="65">
        <v>9.5720000000000006E-3</v>
      </c>
      <c r="AH106" s="65">
        <v>0.35693999999999998</v>
      </c>
      <c r="AI106" s="65">
        <v>0.89188900000000004</v>
      </c>
      <c r="AJ106" s="65">
        <v>0.52046999999999999</v>
      </c>
      <c r="AK106" s="65">
        <v>0.58337899999999998</v>
      </c>
      <c r="AL106">
        <v>0</v>
      </c>
      <c r="AM106">
        <v>0</v>
      </c>
      <c r="AN106">
        <v>0.1109750591376213</v>
      </c>
      <c r="AO106">
        <v>3.021148036253776E-3</v>
      </c>
      <c r="AP106">
        <v>0.1187640886961048</v>
      </c>
      <c r="AQ106">
        <v>9.7122212905596486E-2</v>
      </c>
      <c r="AR106">
        <v>3.262839879154079E-3</v>
      </c>
      <c r="AS106">
        <v>0.23159213016131869</v>
      </c>
      <c r="AT106">
        <v>0.51096041633811695</v>
      </c>
      <c r="AU106">
        <v>1.6616314199395771E-2</v>
      </c>
      <c r="AV106">
        <v>0.29738699724810758</v>
      </c>
      <c r="AW106">
        <v>0.25905231202428608</v>
      </c>
      <c r="AY106">
        <f t="shared" si="13"/>
        <v>0</v>
      </c>
      <c r="AZ106">
        <f t="shared" si="14"/>
        <v>0</v>
      </c>
      <c r="BA106">
        <f t="shared" si="15"/>
        <v>11.097505913762131</v>
      </c>
      <c r="BB106">
        <f t="shared" si="16"/>
        <v>0.30211480362537763</v>
      </c>
      <c r="BC106">
        <f t="shared" si="17"/>
        <v>11.876408869610481</v>
      </c>
      <c r="BD106">
        <f t="shared" si="18"/>
        <v>9.7122212905596488</v>
      </c>
      <c r="BE106">
        <f t="shared" si="19"/>
        <v>0.32628398791540791</v>
      </c>
      <c r="BF106">
        <f t="shared" si="20"/>
        <v>23.159213016131869</v>
      </c>
      <c r="BG106">
        <f t="shared" si="21"/>
        <v>51.096041633811694</v>
      </c>
      <c r="BH106">
        <f t="shared" si="22"/>
        <v>1.6616314199395772</v>
      </c>
      <c r="BI106">
        <f t="shared" si="23"/>
        <v>29.738699724810758</v>
      </c>
      <c r="BJ106">
        <f t="shared" si="24"/>
        <v>25.90523120242861</v>
      </c>
    </row>
    <row r="107" spans="1:62" ht="15.6" thickBot="1">
      <c r="A107" s="6" t="s">
        <v>197</v>
      </c>
      <c r="B107" s="17" t="s">
        <v>107</v>
      </c>
      <c r="C107" s="37" t="s">
        <v>108</v>
      </c>
      <c r="D107" s="35">
        <v>34.545454545454547</v>
      </c>
      <c r="E107" s="10">
        <v>34.799999999999997</v>
      </c>
      <c r="F107" s="10">
        <v>12.727272727272727</v>
      </c>
      <c r="G107" s="10">
        <v>52.72727272727272</v>
      </c>
      <c r="H107" s="11">
        <v>16.267641176470587</v>
      </c>
      <c r="I107" s="12">
        <v>39.700000000000003</v>
      </c>
      <c r="J107" s="14">
        <v>6.5</v>
      </c>
      <c r="K107" s="14">
        <v>99</v>
      </c>
      <c r="L107" s="15">
        <v>25</v>
      </c>
      <c r="M107" s="13">
        <v>71</v>
      </c>
      <c r="N107" s="15">
        <v>80</v>
      </c>
      <c r="O107" s="16">
        <v>28.999999999999996</v>
      </c>
      <c r="P107" s="15">
        <v>68</v>
      </c>
      <c r="Q107" s="15">
        <v>81</v>
      </c>
      <c r="R107" s="22">
        <v>70</v>
      </c>
      <c r="S107" s="10">
        <v>83</v>
      </c>
      <c r="T107" s="42">
        <v>84.383740435024507</v>
      </c>
      <c r="U107" s="65">
        <v>0.44134000000000001</v>
      </c>
      <c r="V107" s="65">
        <v>0.279312</v>
      </c>
      <c r="W107" s="65">
        <v>0.366699</v>
      </c>
      <c r="X107" s="65">
        <v>0.63700000000000001</v>
      </c>
      <c r="Y107" s="65">
        <v>0.90286500000000003</v>
      </c>
      <c r="Z107" s="65">
        <v>0.91444300000000001</v>
      </c>
      <c r="AA107" s="65">
        <v>0.71070500000000003</v>
      </c>
      <c r="AB107" s="65">
        <v>0.70034200000000002</v>
      </c>
      <c r="AC107" s="65">
        <v>0.71879099999999996</v>
      </c>
      <c r="AD107" s="65">
        <v>0.20712900000000001</v>
      </c>
      <c r="AE107" s="65">
        <v>0.46952500000000003</v>
      </c>
      <c r="AF107" s="65">
        <v>0.111586</v>
      </c>
      <c r="AG107" s="65">
        <v>8.6706000000000005E-2</v>
      </c>
      <c r="AH107" s="65">
        <v>0.38980300000000001</v>
      </c>
      <c r="AI107" s="65">
        <v>0.95357800000000004</v>
      </c>
      <c r="AJ107" s="65">
        <v>0.50347200000000003</v>
      </c>
      <c r="AK107" s="65">
        <v>0.573438</v>
      </c>
      <c r="AL107">
        <v>3.5636902725510321E-3</v>
      </c>
      <c r="AM107">
        <v>0.16764861138794829</v>
      </c>
      <c r="AN107">
        <v>0.45989630178297419</v>
      </c>
      <c r="AO107">
        <v>2.28076177443266E-3</v>
      </c>
      <c r="AP107">
        <v>0.25147291708192238</v>
      </c>
      <c r="AQ107">
        <v>0.17367619929136879</v>
      </c>
      <c r="AR107">
        <v>7.8458205040483528E-4</v>
      </c>
      <c r="AS107">
        <v>0.26153426987021849</v>
      </c>
      <c r="AT107">
        <v>0.48963578107630928</v>
      </c>
      <c r="AU107">
        <v>6.6902345383358054E-3</v>
      </c>
      <c r="AV107">
        <v>0.41979454968959851</v>
      </c>
      <c r="AW107">
        <v>0.48755677983107432</v>
      </c>
      <c r="AY107">
        <f t="shared" si="13"/>
        <v>0.35636902725510322</v>
      </c>
      <c r="AZ107">
        <f t="shared" si="14"/>
        <v>16.764861138794828</v>
      </c>
      <c r="BA107">
        <f t="shared" si="15"/>
        <v>45.989630178297418</v>
      </c>
      <c r="BB107">
        <f t="shared" si="16"/>
        <v>0.228076177443266</v>
      </c>
      <c r="BC107">
        <f t="shared" si="17"/>
        <v>25.147291708192238</v>
      </c>
      <c r="BD107">
        <f t="shared" si="18"/>
        <v>17.367619929136879</v>
      </c>
      <c r="BE107">
        <f t="shared" si="19"/>
        <v>7.8458205040483522E-2</v>
      </c>
      <c r="BF107">
        <f t="shared" si="20"/>
        <v>26.153426987021849</v>
      </c>
      <c r="BG107">
        <f t="shared" si="21"/>
        <v>48.96357810763093</v>
      </c>
      <c r="BH107">
        <f t="shared" si="22"/>
        <v>0.66902345383358053</v>
      </c>
      <c r="BI107">
        <f t="shared" si="23"/>
        <v>41.97945496895985</v>
      </c>
      <c r="BJ107">
        <f t="shared" si="24"/>
        <v>48.755677983107432</v>
      </c>
    </row>
    <row r="108" spans="1:62" ht="15.6" thickBot="1">
      <c r="A108" s="7" t="s">
        <v>198</v>
      </c>
      <c r="B108" s="9" t="s">
        <v>169</v>
      </c>
      <c r="C108" s="38" t="s">
        <v>134</v>
      </c>
      <c r="D108" s="35">
        <v>43.640897755610972</v>
      </c>
      <c r="E108" s="10">
        <v>96</v>
      </c>
      <c r="F108" s="10">
        <v>13.96508728179551</v>
      </c>
      <c r="G108" s="10">
        <v>42.394014962593516</v>
      </c>
      <c r="H108" s="11">
        <v>6.402628571428572</v>
      </c>
      <c r="I108" s="12">
        <v>33.5</v>
      </c>
      <c r="J108" s="14">
        <v>13</v>
      </c>
      <c r="K108" s="14">
        <v>87</v>
      </c>
      <c r="L108" s="15">
        <v>76</v>
      </c>
      <c r="M108" s="13">
        <v>46</v>
      </c>
      <c r="N108" s="15">
        <v>68</v>
      </c>
      <c r="O108" s="16">
        <v>34</v>
      </c>
      <c r="P108" s="15">
        <v>67</v>
      </c>
      <c r="Q108" s="15">
        <v>54</v>
      </c>
      <c r="R108" s="22">
        <v>56.000000000000007</v>
      </c>
      <c r="S108" s="10">
        <v>72</v>
      </c>
      <c r="T108" s="42">
        <v>80.1266046947907</v>
      </c>
      <c r="U108" s="65">
        <v>0.29403699999999999</v>
      </c>
      <c r="V108" s="65">
        <v>0.28695999999999999</v>
      </c>
      <c r="W108" s="65">
        <v>0.36077599999999999</v>
      </c>
      <c r="X108" s="65">
        <v>0.76832900000000004</v>
      </c>
      <c r="Y108" s="65">
        <v>0.91677900000000001</v>
      </c>
      <c r="Z108" s="65">
        <v>0.60823199999999999</v>
      </c>
      <c r="AA108" s="65">
        <v>0.24543699999999999</v>
      </c>
      <c r="AB108" s="65">
        <v>0.46046500000000001</v>
      </c>
      <c r="AC108" s="65">
        <v>0.36400700000000002</v>
      </c>
      <c r="AD108" s="65">
        <v>0.122798</v>
      </c>
      <c r="AE108" s="65">
        <v>0.39144800000000002</v>
      </c>
      <c r="AF108" s="65">
        <v>0.111744</v>
      </c>
      <c r="AG108" s="65">
        <v>8.2030000000000002E-3</v>
      </c>
      <c r="AH108" s="65">
        <v>0.45382499999999998</v>
      </c>
      <c r="AI108" s="65">
        <v>0.86162099999999997</v>
      </c>
      <c r="AJ108" s="65">
        <v>0.523702</v>
      </c>
      <c r="AK108" s="65">
        <v>0.67531799999999997</v>
      </c>
      <c r="AL108">
        <v>2.6466229091679019E-3</v>
      </c>
      <c r="AM108">
        <v>0.1190496702391443</v>
      </c>
      <c r="AN108">
        <v>0.1373066326772962</v>
      </c>
      <c r="AO108">
        <v>8.4691933093372868E-4</v>
      </c>
      <c r="AP108">
        <v>5.9524835119572163E-2</v>
      </c>
      <c r="AQ108">
        <v>2.020339353478701E-2</v>
      </c>
      <c r="AR108">
        <v>9.14672877408427E-4</v>
      </c>
      <c r="AS108">
        <v>9.2859607742993594E-2</v>
      </c>
      <c r="AT108">
        <v>0.2483317351910922</v>
      </c>
      <c r="AU108">
        <v>0</v>
      </c>
      <c r="AV108">
        <v>0</v>
      </c>
      <c r="AW108">
        <v>2.0964246133352259E-3</v>
      </c>
      <c r="AY108">
        <f t="shared" si="13"/>
        <v>0.26466229091679017</v>
      </c>
      <c r="AZ108">
        <f t="shared" si="14"/>
        <v>11.904967023914431</v>
      </c>
      <c r="BA108">
        <f t="shared" si="15"/>
        <v>13.73066326772962</v>
      </c>
      <c r="BB108">
        <f t="shared" si="16"/>
        <v>8.4691933093372862E-2</v>
      </c>
      <c r="BC108">
        <f t="shared" si="17"/>
        <v>5.9524835119572161</v>
      </c>
      <c r="BD108">
        <f t="shared" si="18"/>
        <v>2.0203393534787009</v>
      </c>
      <c r="BE108">
        <f t="shared" si="19"/>
        <v>9.1467287740842701E-2</v>
      </c>
      <c r="BF108">
        <f t="shared" si="20"/>
        <v>9.28596077429936</v>
      </c>
      <c r="BG108">
        <f t="shared" si="21"/>
        <v>24.83317351910922</v>
      </c>
      <c r="BH108">
        <f t="shared" si="22"/>
        <v>0</v>
      </c>
      <c r="BI108">
        <f t="shared" si="23"/>
        <v>0</v>
      </c>
      <c r="BJ108">
        <f t="shared" si="24"/>
        <v>0.2096424613335226</v>
      </c>
    </row>
    <row r="109" spans="1:62" ht="15.6" thickBot="1">
      <c r="A109" s="6" t="s">
        <v>199</v>
      </c>
      <c r="B109" s="17" t="s">
        <v>173</v>
      </c>
      <c r="C109" s="37" t="s">
        <v>134</v>
      </c>
      <c r="D109" s="35">
        <v>43.640897755610972</v>
      </c>
      <c r="E109" s="10">
        <v>96</v>
      </c>
      <c r="F109" s="10">
        <v>13.96508728179551</v>
      </c>
      <c r="G109" s="10">
        <v>42.394014962593516</v>
      </c>
      <c r="H109" s="11">
        <v>4.1984034782608699</v>
      </c>
      <c r="I109" s="12">
        <v>33</v>
      </c>
      <c r="J109" s="14">
        <v>15</v>
      </c>
      <c r="K109" s="14">
        <v>89</v>
      </c>
      <c r="L109" s="15">
        <v>74</v>
      </c>
      <c r="M109" s="13">
        <v>44</v>
      </c>
      <c r="N109" s="15">
        <v>65</v>
      </c>
      <c r="O109" s="16">
        <v>19</v>
      </c>
      <c r="P109" s="15">
        <v>83</v>
      </c>
      <c r="Q109" s="15">
        <v>76</v>
      </c>
      <c r="R109" s="22">
        <v>56.000000000000007</v>
      </c>
      <c r="S109" s="10">
        <v>69</v>
      </c>
      <c r="T109" s="42">
        <v>78.782645879820194</v>
      </c>
      <c r="U109" s="65">
        <v>0.26518999999999998</v>
      </c>
      <c r="V109" s="65">
        <v>0.18440300000000001</v>
      </c>
      <c r="W109" s="65">
        <v>0.289744</v>
      </c>
      <c r="X109" s="65">
        <v>0.68155399999999999</v>
      </c>
      <c r="Y109" s="65">
        <v>0.88942900000000003</v>
      </c>
      <c r="Z109" s="65">
        <v>0.70763799999999999</v>
      </c>
      <c r="AA109" s="65">
        <v>8.9450000000000002E-2</v>
      </c>
      <c r="AB109" s="65">
        <v>0.497614</v>
      </c>
      <c r="AC109" s="65">
        <v>0.47068300000000002</v>
      </c>
      <c r="AD109" s="65">
        <v>0.159384</v>
      </c>
      <c r="AE109" s="65">
        <v>0.56529200000000002</v>
      </c>
      <c r="AF109" s="65">
        <v>0.16350400000000001</v>
      </c>
      <c r="AG109" s="65">
        <v>0</v>
      </c>
      <c r="AH109" s="65">
        <v>0.46948800000000002</v>
      </c>
      <c r="AI109" s="65">
        <v>0.88398600000000005</v>
      </c>
      <c r="AJ109" s="65">
        <v>0.50057499999999999</v>
      </c>
      <c r="AK109" s="65">
        <v>0.57591999999999999</v>
      </c>
      <c r="AL109">
        <v>1.2342022116903629E-3</v>
      </c>
      <c r="AM109">
        <v>7.3518711675160317E-2</v>
      </c>
      <c r="AN109">
        <v>0.18494454221749271</v>
      </c>
      <c r="AO109">
        <v>0</v>
      </c>
      <c r="AP109">
        <v>0</v>
      </c>
      <c r="AQ109">
        <v>9.8535596805475953E-3</v>
      </c>
      <c r="AR109">
        <v>3.1595576619273303E-5</v>
      </c>
      <c r="AS109">
        <v>5.7345129257492827E-2</v>
      </c>
      <c r="AT109">
        <v>7.5876372097728761E-4</v>
      </c>
      <c r="AU109">
        <v>0</v>
      </c>
      <c r="AV109">
        <v>0</v>
      </c>
      <c r="AW109">
        <v>1.204235522125476E-3</v>
      </c>
      <c r="AY109">
        <f t="shared" si="13"/>
        <v>0.1234202211690363</v>
      </c>
      <c r="AZ109">
        <f t="shared" si="14"/>
        <v>7.3518711675160313</v>
      </c>
      <c r="BA109">
        <f t="shared" si="15"/>
        <v>18.494454221749272</v>
      </c>
      <c r="BB109">
        <f t="shared" si="16"/>
        <v>0</v>
      </c>
      <c r="BC109">
        <f t="shared" si="17"/>
        <v>0</v>
      </c>
      <c r="BD109">
        <f t="shared" si="18"/>
        <v>0.98535596805475956</v>
      </c>
      <c r="BE109">
        <f t="shared" si="19"/>
        <v>3.1595576619273301E-3</v>
      </c>
      <c r="BF109">
        <f t="shared" si="20"/>
        <v>5.7345129257492831</v>
      </c>
      <c r="BG109">
        <f t="shared" si="21"/>
        <v>7.5876372097728767E-2</v>
      </c>
      <c r="BH109">
        <f t="shared" si="22"/>
        <v>0</v>
      </c>
      <c r="BI109">
        <f t="shared" si="23"/>
        <v>0</v>
      </c>
      <c r="BJ109">
        <f t="shared" si="24"/>
        <v>0.12042355221254759</v>
      </c>
    </row>
    <row r="110" spans="1:62" ht="15.6" thickBot="1">
      <c r="A110" s="7" t="s">
        <v>200</v>
      </c>
      <c r="B110" s="9" t="s">
        <v>133</v>
      </c>
      <c r="C110" s="38" t="s">
        <v>134</v>
      </c>
      <c r="D110" s="35">
        <v>43.640897755610972</v>
      </c>
      <c r="E110" s="10">
        <v>96</v>
      </c>
      <c r="F110" s="10">
        <v>13.96508728179551</v>
      </c>
      <c r="G110" s="10">
        <v>42.394014962593516</v>
      </c>
      <c r="H110" s="11">
        <v>10.326496551724137</v>
      </c>
      <c r="I110" s="12">
        <v>29.5</v>
      </c>
      <c r="J110" s="14">
        <v>12</v>
      </c>
      <c r="K110" s="14">
        <v>89</v>
      </c>
      <c r="L110" s="15">
        <v>69</v>
      </c>
      <c r="M110" s="13">
        <v>49</v>
      </c>
      <c r="N110" s="15">
        <v>62</v>
      </c>
      <c r="O110" s="16">
        <v>32</v>
      </c>
      <c r="P110" s="15">
        <v>78</v>
      </c>
      <c r="Q110" s="15">
        <v>57.999999999999993</v>
      </c>
      <c r="R110" s="22">
        <v>56.000000000000007</v>
      </c>
      <c r="S110" s="10">
        <v>71</v>
      </c>
      <c r="T110" s="42">
        <v>61.779664164986656</v>
      </c>
      <c r="U110" s="65">
        <v>0.21850800000000001</v>
      </c>
      <c r="V110" s="65">
        <v>0.37148999999999999</v>
      </c>
      <c r="W110" s="65">
        <v>0.33590799999999998</v>
      </c>
      <c r="X110" s="65">
        <v>0.91361800000000004</v>
      </c>
      <c r="Y110" s="65">
        <v>0.94799999999999995</v>
      </c>
      <c r="Z110" s="65">
        <v>0.45922800000000003</v>
      </c>
      <c r="AA110" s="65">
        <v>9.2539999999999997E-2</v>
      </c>
      <c r="AB110" s="65">
        <v>0.46224599999999999</v>
      </c>
      <c r="AC110" s="65">
        <v>0.24546399999999999</v>
      </c>
      <c r="AD110" s="65">
        <v>9.5212000000000005E-2</v>
      </c>
      <c r="AE110" s="65">
        <v>0.23546600000000001</v>
      </c>
      <c r="AF110" s="65">
        <v>7.8409999999999994E-2</v>
      </c>
      <c r="AG110" s="65">
        <v>3.2766000000000003E-2</v>
      </c>
      <c r="AH110" s="65">
        <v>0.37852599999999997</v>
      </c>
      <c r="AI110" s="65">
        <v>0.812774</v>
      </c>
      <c r="AJ110" s="65">
        <v>0.50113700000000005</v>
      </c>
      <c r="AK110" s="65">
        <v>0.59513199999999999</v>
      </c>
      <c r="AL110">
        <v>5.8722204823050423E-3</v>
      </c>
      <c r="AM110">
        <v>0.14395971229669999</v>
      </c>
      <c r="AN110">
        <v>0.3010006403052557</v>
      </c>
      <c r="AO110">
        <v>5.0109614782336363E-3</v>
      </c>
      <c r="AP110">
        <v>9.5973141531133357E-2</v>
      </c>
      <c r="AQ110">
        <v>3.1302859623715512E-2</v>
      </c>
      <c r="AR110">
        <v>1.1024115252114E-3</v>
      </c>
      <c r="AS110">
        <v>3.7429873844007991E-2</v>
      </c>
      <c r="AT110">
        <v>0.21621337898510931</v>
      </c>
      <c r="AU110">
        <v>0</v>
      </c>
      <c r="AV110">
        <v>0</v>
      </c>
      <c r="AW110">
        <v>8.7662542466049681E-2</v>
      </c>
      <c r="AY110">
        <f t="shared" si="13"/>
        <v>0.58722204823050428</v>
      </c>
      <c r="AZ110">
        <f t="shared" si="14"/>
        <v>14.395971229669998</v>
      </c>
      <c r="BA110">
        <f t="shared" si="15"/>
        <v>30.100064030525569</v>
      </c>
      <c r="BB110">
        <f t="shared" si="16"/>
        <v>0.50109614782336365</v>
      </c>
      <c r="BC110">
        <f t="shared" si="17"/>
        <v>9.5973141531133361</v>
      </c>
      <c r="BD110">
        <f t="shared" si="18"/>
        <v>3.1302859623715511</v>
      </c>
      <c r="BE110">
        <f t="shared" si="19"/>
        <v>0.11024115252114</v>
      </c>
      <c r="BF110">
        <f t="shared" si="20"/>
        <v>3.742987384400799</v>
      </c>
      <c r="BG110">
        <f t="shared" si="21"/>
        <v>21.62133789851093</v>
      </c>
      <c r="BH110">
        <f t="shared" si="22"/>
        <v>0</v>
      </c>
      <c r="BI110">
        <f t="shared" si="23"/>
        <v>0</v>
      </c>
      <c r="BJ110">
        <f t="shared" si="24"/>
        <v>8.7662542466049675</v>
      </c>
    </row>
    <row r="111" spans="1:62" ht="30.6" thickBot="1">
      <c r="A111" s="6" t="s">
        <v>201</v>
      </c>
      <c r="B111" s="17" t="s">
        <v>107</v>
      </c>
      <c r="C111" s="37" t="s">
        <v>108</v>
      </c>
      <c r="D111" s="35">
        <v>34.545454545454547</v>
      </c>
      <c r="E111" s="10">
        <v>34.799999999999997</v>
      </c>
      <c r="F111" s="10">
        <v>12.727272727272727</v>
      </c>
      <c r="G111" s="10">
        <v>52.72727272727272</v>
      </c>
      <c r="H111" s="11">
        <v>7.7512975609756092</v>
      </c>
      <c r="I111" s="12">
        <v>45.3</v>
      </c>
      <c r="J111" s="14">
        <v>7.3</v>
      </c>
      <c r="K111" s="14">
        <v>99</v>
      </c>
      <c r="L111" s="15">
        <v>25</v>
      </c>
      <c r="M111" s="13">
        <v>71</v>
      </c>
      <c r="N111" s="15">
        <v>80</v>
      </c>
      <c r="O111" s="16">
        <v>28.999999999999996</v>
      </c>
      <c r="P111" s="15">
        <v>68</v>
      </c>
      <c r="Q111" s="15">
        <v>81</v>
      </c>
      <c r="R111" s="22">
        <v>70</v>
      </c>
      <c r="S111" s="10">
        <v>83</v>
      </c>
      <c r="T111" s="40">
        <v>45.973273543091999</v>
      </c>
      <c r="U111" s="65">
        <v>0.30138999999999999</v>
      </c>
      <c r="V111" s="65">
        <v>0.226877</v>
      </c>
      <c r="W111" s="65">
        <v>0.293489</v>
      </c>
      <c r="X111" s="65">
        <v>0.69633999999999996</v>
      </c>
      <c r="Y111" s="65">
        <v>0.89361999999999997</v>
      </c>
      <c r="Z111" s="65">
        <v>0.71342399999999995</v>
      </c>
      <c r="AA111" s="65">
        <v>0.42479699999999998</v>
      </c>
      <c r="AB111" s="65">
        <v>0.51831899999999997</v>
      </c>
      <c r="AC111" s="65">
        <v>0.47668899999999997</v>
      </c>
      <c r="AD111" s="65">
        <v>0.16190199999999999</v>
      </c>
      <c r="AE111" s="65">
        <v>0.39346700000000001</v>
      </c>
      <c r="AF111" s="65">
        <v>0.112777</v>
      </c>
      <c r="AG111" s="65">
        <v>0.12547</v>
      </c>
      <c r="AH111" s="65">
        <v>0.45608599999999999</v>
      </c>
      <c r="AI111" s="65">
        <v>0.90229599999999999</v>
      </c>
      <c r="AJ111" s="65">
        <v>0.36029600000000001</v>
      </c>
      <c r="AK111" s="65">
        <v>0.60707800000000001</v>
      </c>
      <c r="AL111">
        <v>0</v>
      </c>
      <c r="AM111">
        <v>0</v>
      </c>
      <c r="AN111">
        <v>0.2436900253685797</v>
      </c>
      <c r="AO111">
        <v>0</v>
      </c>
      <c r="AP111">
        <v>0</v>
      </c>
      <c r="AQ111">
        <v>5.3219660367838963E-2</v>
      </c>
      <c r="AR111">
        <v>7.1348940914158312E-4</v>
      </c>
      <c r="AS111">
        <v>0.37497123991341241</v>
      </c>
      <c r="AT111">
        <v>0.72079338392329695</v>
      </c>
      <c r="AU111">
        <v>0</v>
      </c>
      <c r="AV111">
        <v>0</v>
      </c>
      <c r="AW111">
        <v>0.1638882902526527</v>
      </c>
      <c r="AY111">
        <f t="shared" si="13"/>
        <v>0</v>
      </c>
      <c r="AZ111">
        <f t="shared" si="14"/>
        <v>0</v>
      </c>
      <c r="BA111">
        <f t="shared" si="15"/>
        <v>24.36900253685797</v>
      </c>
      <c r="BB111">
        <f t="shared" si="16"/>
        <v>0</v>
      </c>
      <c r="BC111">
        <f t="shared" si="17"/>
        <v>0</v>
      </c>
      <c r="BD111">
        <f t="shared" si="18"/>
        <v>5.3219660367838966</v>
      </c>
      <c r="BE111">
        <f t="shared" si="19"/>
        <v>7.1348940914158318E-2</v>
      </c>
      <c r="BF111">
        <f t="shared" si="20"/>
        <v>37.49712399134124</v>
      </c>
      <c r="BG111">
        <f t="shared" si="21"/>
        <v>72.079338392329689</v>
      </c>
      <c r="BH111">
        <f t="shared" si="22"/>
        <v>0</v>
      </c>
      <c r="BI111">
        <f t="shared" si="23"/>
        <v>0</v>
      </c>
      <c r="BJ111">
        <f t="shared" si="24"/>
        <v>16.38882902526527</v>
      </c>
    </row>
    <row r="112" spans="1:62" ht="15.6" thickBot="1">
      <c r="A112" s="7" t="s">
        <v>202</v>
      </c>
      <c r="B112" s="9" t="s">
        <v>87</v>
      </c>
      <c r="C112" s="38" t="s">
        <v>51</v>
      </c>
      <c r="D112" s="35">
        <v>30.256410256410255</v>
      </c>
      <c r="E112" s="10">
        <v>23.8</v>
      </c>
      <c r="F112" s="10">
        <v>6.666666666666667</v>
      </c>
      <c r="G112" s="10">
        <v>63.076923076923073</v>
      </c>
      <c r="H112" s="11">
        <v>31.267025490196076</v>
      </c>
      <c r="I112" s="21">
        <v>43.8</v>
      </c>
      <c r="J112" s="14">
        <v>9.6</v>
      </c>
      <c r="K112" s="14">
        <v>91</v>
      </c>
      <c r="L112" s="15">
        <v>62</v>
      </c>
      <c r="M112" s="13">
        <v>54</v>
      </c>
      <c r="N112" s="15">
        <v>72</v>
      </c>
      <c r="O112" s="16">
        <v>20</v>
      </c>
      <c r="P112" s="15">
        <v>69</v>
      </c>
      <c r="Q112" s="15">
        <v>67</v>
      </c>
      <c r="R112" s="22">
        <v>54</v>
      </c>
      <c r="S112" s="10">
        <v>78</v>
      </c>
      <c r="T112" s="40">
        <v>78.699259744154205</v>
      </c>
      <c r="U112" s="65">
        <v>9.0118000000000004E-2</v>
      </c>
      <c r="V112" s="65">
        <v>0.140738</v>
      </c>
      <c r="W112" s="65">
        <v>0.17795</v>
      </c>
      <c r="X112" s="65">
        <v>0.87461999999999995</v>
      </c>
      <c r="Y112" s="65">
        <v>0.94391899999999995</v>
      </c>
      <c r="Z112" s="65">
        <v>0.25458199999999997</v>
      </c>
      <c r="AA112" s="65">
        <v>0.29983300000000002</v>
      </c>
      <c r="AB112" s="65">
        <v>0.51037399999999999</v>
      </c>
      <c r="AC112" s="65">
        <v>0.30703000000000003</v>
      </c>
      <c r="AD112" s="65">
        <v>0.109511</v>
      </c>
      <c r="AE112" s="65">
        <v>0.37061100000000002</v>
      </c>
      <c r="AF112" s="65">
        <v>0.112881</v>
      </c>
      <c r="AG112" s="65">
        <v>0</v>
      </c>
      <c r="AH112" s="65">
        <v>0.182703</v>
      </c>
      <c r="AI112" s="65">
        <v>0.828905</v>
      </c>
      <c r="AJ112" s="65">
        <v>0.57372999999999996</v>
      </c>
      <c r="AK112" s="65">
        <v>0.38621100000000003</v>
      </c>
      <c r="AL112">
        <v>0</v>
      </c>
      <c r="AM112">
        <v>0</v>
      </c>
      <c r="AN112">
        <v>0.13454592113418029</v>
      </c>
      <c r="AO112">
        <v>0</v>
      </c>
      <c r="AP112">
        <v>0</v>
      </c>
      <c r="AQ112">
        <v>0</v>
      </c>
      <c r="AR112">
        <v>9.1743119266055051E-4</v>
      </c>
      <c r="AS112">
        <v>6.2756658821339392E-2</v>
      </c>
      <c r="AT112">
        <v>0.1432640750670241</v>
      </c>
      <c r="AU112">
        <v>5.6065239551478076E-3</v>
      </c>
      <c r="AV112">
        <v>0.10073212716253629</v>
      </c>
      <c r="AW112">
        <v>7.6931296078640882E-2</v>
      </c>
      <c r="AY112">
        <f t="shared" si="13"/>
        <v>0</v>
      </c>
      <c r="AZ112">
        <f t="shared" si="14"/>
        <v>0</v>
      </c>
      <c r="BA112">
        <f t="shared" si="15"/>
        <v>13.454592113418029</v>
      </c>
      <c r="BB112">
        <f t="shared" si="16"/>
        <v>0</v>
      </c>
      <c r="BC112">
        <f t="shared" si="17"/>
        <v>0</v>
      </c>
      <c r="BD112">
        <f t="shared" si="18"/>
        <v>0</v>
      </c>
      <c r="BE112">
        <f t="shared" si="19"/>
        <v>9.1743119266055051E-2</v>
      </c>
      <c r="BF112">
        <f t="shared" si="20"/>
        <v>6.2756658821339393</v>
      </c>
      <c r="BG112">
        <f t="shared" si="21"/>
        <v>14.326407506702409</v>
      </c>
      <c r="BH112">
        <f t="shared" si="22"/>
        <v>0.56065239551478074</v>
      </c>
      <c r="BI112">
        <f t="shared" si="23"/>
        <v>10.073212716253629</v>
      </c>
      <c r="BJ112">
        <f t="shared" si="24"/>
        <v>7.6931296078640878</v>
      </c>
    </row>
    <row r="113" spans="1:49" ht="14.45" thickBot="1">
      <c r="S113" s="13"/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</row>
    <row r="114" spans="1:49" ht="14.45" thickBot="1">
      <c r="A114" t="s">
        <v>203</v>
      </c>
      <c r="D114" s="2">
        <f>AVERAGE(D2:D112)</f>
        <v>34.329266259290534</v>
      </c>
      <c r="E114" s="2">
        <f t="shared" ref="E114:S114" si="25">AVERAGE(E2:E112)</f>
        <v>66.877477477477527</v>
      </c>
      <c r="F114" s="2">
        <f t="shared" si="25"/>
        <v>16.663803566363271</v>
      </c>
      <c r="G114" s="2">
        <f t="shared" si="25"/>
        <v>49.006930174346181</v>
      </c>
      <c r="H114" s="2">
        <f t="shared" si="25"/>
        <v>18.359059897320453</v>
      </c>
      <c r="I114" s="2">
        <f t="shared" si="25"/>
        <v>40.801886792452819</v>
      </c>
      <c r="J114" s="2">
        <f t="shared" si="25"/>
        <v>9.670754716981131</v>
      </c>
      <c r="K114" s="2"/>
      <c r="L114" s="2">
        <f t="shared" si="25"/>
        <v>42.450450450450454</v>
      </c>
      <c r="M114" s="2">
        <f t="shared" si="25"/>
        <v>62.803738317757009</v>
      </c>
      <c r="N114" s="2">
        <f t="shared" si="25"/>
        <v>73.891891891891888</v>
      </c>
      <c r="O114" s="2">
        <f t="shared" si="25"/>
        <v>28.972972972972972</v>
      </c>
      <c r="P114" s="2">
        <f t="shared" si="25"/>
        <v>66.21621621621621</v>
      </c>
      <c r="Q114" s="2">
        <f t="shared" si="25"/>
        <v>66.324324324324323</v>
      </c>
      <c r="R114" s="2">
        <f t="shared" si="25"/>
        <v>60.72072072072072</v>
      </c>
      <c r="S114" s="2">
        <f t="shared" si="25"/>
        <v>82.545454545454547</v>
      </c>
      <c r="T114" s="40">
        <f>AVERAGE(T2:T112)</f>
        <v>67.059073229943309</v>
      </c>
      <c r="Z114" s="13"/>
      <c r="AA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</row>
    <row r="115" spans="1:49">
      <c r="A115" t="s">
        <v>204</v>
      </c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</row>
    <row r="116" spans="1:49"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</row>
    <row r="117" spans="1:49"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</row>
    <row r="118" spans="1:49"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</row>
    <row r="119" spans="1:49"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</row>
  </sheetData>
  <sortState xmlns:xlrd2="http://schemas.microsoft.com/office/spreadsheetml/2017/richdata2" ref="A2:T112">
    <sortCondition ref="A2:A11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74E1-C4C4-4669-ADF0-910BBA485400}">
  <dimension ref="A1:E43"/>
  <sheetViews>
    <sheetView topLeftCell="A22" workbookViewId="0">
      <selection activeCell="B40" sqref="B40"/>
    </sheetView>
  </sheetViews>
  <sheetFormatPr defaultRowHeight="13.9"/>
  <cols>
    <col min="1" max="1" width="17.42578125" customWidth="1"/>
    <col min="2" max="2" width="32.42578125" customWidth="1"/>
    <col min="3" max="3" width="10.5703125" bestFit="1" customWidth="1"/>
    <col min="5" max="5" width="29.28515625" customWidth="1"/>
  </cols>
  <sheetData>
    <row r="1" spans="1:3">
      <c r="A1" t="s">
        <v>205</v>
      </c>
      <c r="B1" t="s">
        <v>206</v>
      </c>
      <c r="C1" t="s">
        <v>204</v>
      </c>
    </row>
    <row r="2" spans="1:3">
      <c r="A2" t="s">
        <v>207</v>
      </c>
      <c r="B2" t="s">
        <v>208</v>
      </c>
      <c r="C2">
        <v>0.35</v>
      </c>
    </row>
    <row r="3" spans="1:3">
      <c r="A3" t="s">
        <v>207</v>
      </c>
      <c r="B3" t="s">
        <v>4</v>
      </c>
      <c r="C3">
        <v>0.35</v>
      </c>
    </row>
    <row r="4" spans="1:3">
      <c r="A4" t="s">
        <v>207</v>
      </c>
      <c r="B4" t="s">
        <v>209</v>
      </c>
      <c r="C4">
        <v>0.15</v>
      </c>
    </row>
    <row r="5" spans="1:3">
      <c r="A5" t="s">
        <v>207</v>
      </c>
      <c r="B5" t="s">
        <v>210</v>
      </c>
      <c r="C5">
        <v>-0.15</v>
      </c>
    </row>
    <row r="6" spans="1:3">
      <c r="A6" t="s">
        <v>211</v>
      </c>
      <c r="B6" t="s">
        <v>18</v>
      </c>
      <c r="C6">
        <v>0.7</v>
      </c>
    </row>
    <row r="7" spans="1:3">
      <c r="A7" t="s">
        <v>211</v>
      </c>
      <c r="B7" t="s">
        <v>17</v>
      </c>
      <c r="C7">
        <v>0.3</v>
      </c>
    </row>
    <row r="8" spans="1:3">
      <c r="A8" t="s">
        <v>212</v>
      </c>
      <c r="B8" t="s">
        <v>7</v>
      </c>
      <c r="C8">
        <v>0.3</v>
      </c>
    </row>
    <row r="9" spans="1:3">
      <c r="A9" t="s">
        <v>212</v>
      </c>
      <c r="B9" t="s">
        <v>8</v>
      </c>
      <c r="C9">
        <v>0.25</v>
      </c>
    </row>
    <row r="10" spans="1:3">
      <c r="A10" t="s">
        <v>212</v>
      </c>
      <c r="B10" t="s">
        <v>19</v>
      </c>
      <c r="C10">
        <v>0.3</v>
      </c>
    </row>
    <row r="11" spans="1:3">
      <c r="A11" t="s">
        <v>212</v>
      </c>
      <c r="B11" t="s">
        <v>209</v>
      </c>
      <c r="C11">
        <v>0.15</v>
      </c>
    </row>
    <row r="12" spans="1:3">
      <c r="A12" t="s">
        <v>213</v>
      </c>
      <c r="B12" t="s">
        <v>9</v>
      </c>
      <c r="C12">
        <v>-0.33</v>
      </c>
    </row>
    <row r="13" spans="1:3">
      <c r="A13" t="s">
        <v>213</v>
      </c>
      <c r="B13" t="s">
        <v>11</v>
      </c>
      <c r="C13">
        <v>-0.33</v>
      </c>
    </row>
    <row r="14" spans="1:3">
      <c r="A14" t="s">
        <v>213</v>
      </c>
      <c r="B14" t="s">
        <v>210</v>
      </c>
      <c r="C14">
        <v>-0.33</v>
      </c>
    </row>
    <row r="15" spans="1:3">
      <c r="A15" t="s">
        <v>214</v>
      </c>
      <c r="B15" t="s">
        <v>15</v>
      </c>
      <c r="C15" s="39">
        <f>SUM(1/6)</f>
        <v>0.16666666666666666</v>
      </c>
    </row>
    <row r="16" spans="1:3">
      <c r="A16" t="s">
        <v>214</v>
      </c>
      <c r="B16" t="s">
        <v>16</v>
      </c>
      <c r="C16" s="39">
        <f t="shared" ref="C16:C20" si="0">SUM(1/6)</f>
        <v>0.16666666666666666</v>
      </c>
    </row>
    <row r="17" spans="1:5">
      <c r="A17" t="s">
        <v>214</v>
      </c>
      <c r="B17" t="s">
        <v>12</v>
      </c>
      <c r="C17" s="39">
        <f t="shared" si="0"/>
        <v>0.16666666666666666</v>
      </c>
    </row>
    <row r="18" spans="1:5">
      <c r="A18" t="s">
        <v>214</v>
      </c>
      <c r="B18" t="s">
        <v>13</v>
      </c>
      <c r="C18" s="39">
        <f t="shared" si="0"/>
        <v>0.16666666666666666</v>
      </c>
    </row>
    <row r="19" spans="1:5">
      <c r="A19" t="s">
        <v>214</v>
      </c>
      <c r="B19" t="s">
        <v>10</v>
      </c>
      <c r="C19" s="39">
        <f t="shared" si="0"/>
        <v>0.16666666666666666</v>
      </c>
    </row>
    <row r="20" spans="1:5">
      <c r="A20" t="s">
        <v>214</v>
      </c>
      <c r="B20" t="s">
        <v>14</v>
      </c>
      <c r="C20" s="39">
        <f t="shared" si="0"/>
        <v>0.16666666666666666</v>
      </c>
    </row>
    <row r="22" spans="1:5" ht="14.45">
      <c r="A22" t="s">
        <v>215</v>
      </c>
      <c r="B22" s="60" t="s">
        <v>22</v>
      </c>
      <c r="C22">
        <v>0.25</v>
      </c>
      <c r="E22" s="60"/>
    </row>
    <row r="23" spans="1:5" ht="14.45">
      <c r="B23" s="60" t="s">
        <v>35</v>
      </c>
      <c r="C23">
        <v>0.25</v>
      </c>
      <c r="E23" s="60"/>
    </row>
    <row r="24" spans="1:5" ht="14.45">
      <c r="B24" s="60" t="s">
        <v>24</v>
      </c>
      <c r="C24">
        <v>0.25</v>
      </c>
      <c r="E24" s="60"/>
    </row>
    <row r="25" spans="1:5" ht="14.45">
      <c r="B25" s="60" t="s">
        <v>36</v>
      </c>
      <c r="C25">
        <v>0.25</v>
      </c>
      <c r="E25" s="60"/>
    </row>
    <row r="26" spans="1:5" ht="14.45">
      <c r="B26" s="60"/>
      <c r="E26" s="60"/>
    </row>
    <row r="27" spans="1:5" ht="14.45">
      <c r="A27" t="s">
        <v>216</v>
      </c>
      <c r="B27" s="60" t="s">
        <v>21</v>
      </c>
      <c r="C27">
        <v>0.2</v>
      </c>
      <c r="E27" s="60"/>
    </row>
    <row r="28" spans="1:5" ht="14.45">
      <c r="B28" s="60" t="s">
        <v>23</v>
      </c>
      <c r="C28">
        <v>0.2</v>
      </c>
      <c r="E28" s="60"/>
    </row>
    <row r="29" spans="1:5" ht="14.45">
      <c r="B29" s="60" t="s">
        <v>25</v>
      </c>
      <c r="C29">
        <v>0.2</v>
      </c>
      <c r="E29" s="60"/>
    </row>
    <row r="30" spans="1:5" ht="14.45">
      <c r="B30" s="60" t="s">
        <v>26</v>
      </c>
      <c r="C30">
        <v>0.2</v>
      </c>
      <c r="E30" s="60"/>
    </row>
    <row r="31" spans="1:5" ht="14.45">
      <c r="B31" s="60" t="s">
        <v>34</v>
      </c>
      <c r="C31">
        <v>0.2</v>
      </c>
      <c r="E31" s="60"/>
    </row>
    <row r="32" spans="1:5" ht="14.45">
      <c r="A32" t="s">
        <v>217</v>
      </c>
      <c r="B32" s="60" t="s">
        <v>29</v>
      </c>
      <c r="C32">
        <v>0.2</v>
      </c>
      <c r="E32" s="60"/>
    </row>
    <row r="33" spans="1:5" ht="14.45">
      <c r="B33" s="60" t="s">
        <v>25</v>
      </c>
      <c r="C33">
        <v>0.2</v>
      </c>
      <c r="E33" s="60"/>
    </row>
    <row r="34" spans="1:5" ht="14.45">
      <c r="B34" s="60" t="s">
        <v>26</v>
      </c>
      <c r="C34">
        <v>0.2</v>
      </c>
      <c r="E34" s="61"/>
    </row>
    <row r="35" spans="1:5" ht="14.45">
      <c r="B35" t="s">
        <v>8</v>
      </c>
      <c r="C35">
        <v>0.2</v>
      </c>
      <c r="E35" s="62" t="s">
        <v>218</v>
      </c>
    </row>
    <row r="36" spans="1:5" ht="14.45">
      <c r="B36" s="60" t="s">
        <v>31</v>
      </c>
      <c r="C36">
        <v>0.2</v>
      </c>
      <c r="E36" s="60"/>
    </row>
    <row r="37" spans="1:5" ht="14.45">
      <c r="A37" t="s">
        <v>219</v>
      </c>
      <c r="B37" s="61" t="s">
        <v>32</v>
      </c>
      <c r="C37">
        <v>0.33</v>
      </c>
      <c r="E37" s="60"/>
    </row>
    <row r="38" spans="1:5" ht="14.45">
      <c r="B38" s="60" t="s">
        <v>31</v>
      </c>
      <c r="C38">
        <v>0.33</v>
      </c>
      <c r="E38" s="60"/>
    </row>
    <row r="39" spans="1:5">
      <c r="B39" t="s">
        <v>7</v>
      </c>
      <c r="C39">
        <v>0.33</v>
      </c>
    </row>
    <row r="40" spans="1:5">
      <c r="A40" t="s">
        <v>220</v>
      </c>
    </row>
    <row r="41" spans="1:5">
      <c r="A41" t="s">
        <v>221</v>
      </c>
    </row>
    <row r="42" spans="1:5">
      <c r="A42" t="s">
        <v>222</v>
      </c>
    </row>
    <row r="43" spans="1:5">
      <c r="A43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529-C92A-407E-AB82-D07DA7E5F22D}">
  <dimension ref="A1:K115"/>
  <sheetViews>
    <sheetView topLeftCell="B1" zoomScale="70" zoomScaleNormal="70" workbookViewId="0">
      <selection activeCell="G87" sqref="G87"/>
    </sheetView>
  </sheetViews>
  <sheetFormatPr defaultRowHeight="13.9"/>
  <cols>
    <col min="1" max="1" width="36.7109375" customWidth="1"/>
    <col min="2" max="2" width="28.85546875" customWidth="1"/>
    <col min="3" max="3" width="22.28515625" customWidth="1"/>
    <col min="4" max="4" width="20" customWidth="1"/>
    <col min="5" max="5" width="13.7109375" customWidth="1"/>
    <col min="6" max="6" width="17.28515625" customWidth="1"/>
    <col min="7" max="7" width="15.85546875" customWidth="1"/>
    <col min="8" max="8" width="16.7109375" customWidth="1"/>
    <col min="9" max="9" width="13.7109375" customWidth="1"/>
    <col min="10" max="10" width="11.85546875" customWidth="1"/>
  </cols>
  <sheetData>
    <row r="1" spans="1:11">
      <c r="D1" s="44" t="s">
        <v>224</v>
      </c>
    </row>
    <row r="2" spans="1:11" ht="57" thickBot="1">
      <c r="A2" s="47" t="s">
        <v>0</v>
      </c>
      <c r="B2" s="48" t="s">
        <v>1</v>
      </c>
      <c r="C2" s="49" t="s">
        <v>2</v>
      </c>
      <c r="D2" s="45" t="s">
        <v>225</v>
      </c>
      <c r="E2" s="43" t="s">
        <v>226</v>
      </c>
      <c r="F2" s="43" t="s">
        <v>227</v>
      </c>
      <c r="G2" s="43" t="s">
        <v>228</v>
      </c>
      <c r="H2" s="43" t="s">
        <v>229</v>
      </c>
      <c r="I2" s="43" t="s">
        <v>230</v>
      </c>
      <c r="J2" s="43" t="s">
        <v>231</v>
      </c>
      <c r="K2" s="43" t="s">
        <v>232</v>
      </c>
    </row>
    <row r="3" spans="1:11" ht="15.6" thickBot="1">
      <c r="A3" s="50" t="s">
        <v>49</v>
      </c>
      <c r="B3" s="8" t="s">
        <v>50</v>
      </c>
      <c r="C3" s="36" t="s">
        <v>51</v>
      </c>
      <c r="D3" s="23" t="e">
        <f>Variables!#REF!</f>
        <v>#REF!</v>
      </c>
      <c r="E3" s="23">
        <v>81</v>
      </c>
      <c r="F3" s="41" t="e">
        <f>Variables!#REF!</f>
        <v>#REF!</v>
      </c>
      <c r="G3" s="41">
        <v>52.567291944159948</v>
      </c>
      <c r="H3" s="41" t="e">
        <f>Variables!#REF!</f>
        <v>#REF!</v>
      </c>
      <c r="I3" s="23" t="e">
        <f>Variables!#REF!</f>
        <v>#REF!</v>
      </c>
      <c r="J3" s="23" t="e">
        <f>Variables!#REF!</f>
        <v>#REF!</v>
      </c>
      <c r="K3" s="23" t="e">
        <f>Variables!#REF!</f>
        <v>#REF!</v>
      </c>
    </row>
    <row r="4" spans="1:11" ht="15.6" thickBot="1">
      <c r="A4" s="51" t="s">
        <v>52</v>
      </c>
      <c r="B4" s="17" t="s">
        <v>53</v>
      </c>
      <c r="C4" s="37" t="s">
        <v>54</v>
      </c>
      <c r="D4" s="23" t="e">
        <f>Variables!#REF!</f>
        <v>#REF!</v>
      </c>
      <c r="E4" s="23">
        <v>79</v>
      </c>
      <c r="F4" s="41" t="e">
        <f>Variables!#REF!</f>
        <v>#REF!</v>
      </c>
      <c r="G4" s="42">
        <v>71.393780167540143</v>
      </c>
      <c r="H4" s="41" t="e">
        <f>Variables!#REF!</f>
        <v>#REF!</v>
      </c>
      <c r="I4" s="23" t="e">
        <f>Variables!#REF!</f>
        <v>#REF!</v>
      </c>
      <c r="J4" s="23" t="e">
        <f>Variables!#REF!</f>
        <v>#REF!</v>
      </c>
      <c r="K4" s="23" t="e">
        <f>Variables!#REF!</f>
        <v>#REF!</v>
      </c>
    </row>
    <row r="5" spans="1:11" ht="15.6" thickBot="1">
      <c r="A5" s="52" t="s">
        <v>55</v>
      </c>
      <c r="B5" s="19" t="s">
        <v>56</v>
      </c>
      <c r="C5" s="38" t="s">
        <v>57</v>
      </c>
      <c r="D5" s="23" t="e">
        <f>Variables!#REF!</f>
        <v>#REF!</v>
      </c>
      <c r="E5" s="23">
        <v>54</v>
      </c>
      <c r="F5" s="41" t="e">
        <f>Variables!#REF!</f>
        <v>#REF!</v>
      </c>
      <c r="G5" s="42">
        <v>61.088332886676199</v>
      </c>
      <c r="H5" s="41" t="e">
        <f>Variables!#REF!</f>
        <v>#REF!</v>
      </c>
      <c r="I5" s="23" t="e">
        <f>Variables!#REF!</f>
        <v>#REF!</v>
      </c>
      <c r="J5" s="23" t="e">
        <f>Variables!#REF!</f>
        <v>#REF!</v>
      </c>
      <c r="K5" s="23" t="e">
        <f>Variables!#REF!</f>
        <v>#REF!</v>
      </c>
    </row>
    <row r="6" spans="1:11" ht="15.6" thickBot="1">
      <c r="A6" s="51" t="s">
        <v>58</v>
      </c>
      <c r="B6" s="17" t="s">
        <v>59</v>
      </c>
      <c r="C6" s="37" t="s">
        <v>60</v>
      </c>
      <c r="D6" s="23" t="e">
        <f>Variables!#REF!</f>
        <v>#REF!</v>
      </c>
      <c r="E6" s="23">
        <v>90</v>
      </c>
      <c r="F6" s="41" t="e">
        <f>Variables!#REF!</f>
        <v>#REF!</v>
      </c>
      <c r="G6" s="42">
        <v>62.269505803569302</v>
      </c>
      <c r="H6" s="41" t="e">
        <f>Variables!#REF!</f>
        <v>#REF!</v>
      </c>
      <c r="I6" s="23" t="e">
        <f>Variables!#REF!</f>
        <v>#REF!</v>
      </c>
      <c r="J6" s="23" t="e">
        <f>Variables!#REF!</f>
        <v>#REF!</v>
      </c>
      <c r="K6" s="23" t="e">
        <f>Variables!#REF!</f>
        <v>#REF!</v>
      </c>
    </row>
    <row r="7" spans="1:11" ht="15.6" thickBot="1">
      <c r="A7" s="52" t="s">
        <v>61</v>
      </c>
      <c r="B7" s="19" t="s">
        <v>62</v>
      </c>
      <c r="C7" s="38" t="s">
        <v>63</v>
      </c>
      <c r="D7" s="23" t="e">
        <f>Variables!#REF!</f>
        <v>#REF!</v>
      </c>
      <c r="E7" s="23">
        <v>91</v>
      </c>
      <c r="F7" s="41" t="e">
        <f>Variables!#REF!</f>
        <v>#REF!</v>
      </c>
      <c r="G7" s="42">
        <v>63.269505803569302</v>
      </c>
      <c r="H7" s="41" t="e">
        <f>Variables!#REF!</f>
        <v>#REF!</v>
      </c>
      <c r="I7" s="23" t="e">
        <f>Variables!#REF!</f>
        <v>#REF!</v>
      </c>
      <c r="J7" s="23" t="e">
        <f>Variables!#REF!</f>
        <v>#REF!</v>
      </c>
      <c r="K7" s="23" t="e">
        <f>Variables!#REF!</f>
        <v>#REF!</v>
      </c>
    </row>
    <row r="8" spans="1:11" ht="15.6" thickBot="1">
      <c r="A8" s="53" t="s">
        <v>64</v>
      </c>
      <c r="B8" s="17" t="s">
        <v>59</v>
      </c>
      <c r="C8" s="37" t="s">
        <v>60</v>
      </c>
      <c r="D8" s="23" t="e">
        <f>Variables!#REF!</f>
        <v>#REF!</v>
      </c>
      <c r="E8" s="23">
        <v>90</v>
      </c>
      <c r="F8" s="41" t="e">
        <f>Variables!#REF!</f>
        <v>#REF!</v>
      </c>
      <c r="G8" s="42">
        <v>34.536949678139401</v>
      </c>
      <c r="H8" s="41" t="e">
        <f>Variables!#REF!</f>
        <v>#REF!</v>
      </c>
      <c r="I8" s="23" t="e">
        <f>Variables!#REF!</f>
        <v>#REF!</v>
      </c>
      <c r="J8" s="23" t="e">
        <f>Variables!#REF!</f>
        <v>#REF!</v>
      </c>
      <c r="K8" s="23" t="e">
        <f>Variables!#REF!</f>
        <v>#REF!</v>
      </c>
    </row>
    <row r="9" spans="1:11" ht="15.6" thickBot="1">
      <c r="A9" s="54" t="s">
        <v>65</v>
      </c>
      <c r="B9" s="9" t="s">
        <v>66</v>
      </c>
      <c r="C9" s="38" t="s">
        <v>63</v>
      </c>
      <c r="D9" s="23" t="e">
        <f>Variables!#REF!</f>
        <v>#REF!</v>
      </c>
      <c r="E9" s="23">
        <v>95</v>
      </c>
      <c r="F9" s="41" t="e">
        <f>Variables!#REF!</f>
        <v>#REF!</v>
      </c>
      <c r="G9" s="42">
        <v>41.543431423425403</v>
      </c>
      <c r="H9" s="41" t="e">
        <f>Variables!#REF!</f>
        <v>#REF!</v>
      </c>
      <c r="I9" s="23" t="e">
        <f>Variables!#REF!</f>
        <v>#REF!</v>
      </c>
      <c r="J9" s="23" t="e">
        <f>Variables!#REF!</f>
        <v>#REF!</v>
      </c>
      <c r="K9" s="23" t="e">
        <f>Variables!#REF!</f>
        <v>#REF!</v>
      </c>
    </row>
    <row r="10" spans="1:11" ht="15.6" thickBot="1">
      <c r="A10" s="53" t="s">
        <v>67</v>
      </c>
      <c r="B10" s="17" t="s">
        <v>68</v>
      </c>
      <c r="C10" s="37" t="s">
        <v>69</v>
      </c>
      <c r="D10" s="23" t="e">
        <f>Variables!#REF!</f>
        <v>#REF!</v>
      </c>
      <c r="E10" s="10">
        <v>71</v>
      </c>
      <c r="F10" s="41" t="e">
        <f>Variables!#REF!</f>
        <v>#REF!</v>
      </c>
      <c r="G10" s="42">
        <v>13.9431565932766</v>
      </c>
      <c r="H10" s="41" t="e">
        <f>Variables!#REF!</f>
        <v>#REF!</v>
      </c>
      <c r="I10" s="23" t="e">
        <f>Variables!#REF!</f>
        <v>#REF!</v>
      </c>
      <c r="J10" s="23" t="e">
        <f>Variables!#REF!</f>
        <v>#REF!</v>
      </c>
      <c r="K10" s="23" t="e">
        <f>Variables!#REF!</f>
        <v>#REF!</v>
      </c>
    </row>
    <row r="11" spans="1:11" ht="15.6" thickBot="1">
      <c r="A11" s="54" t="s">
        <v>70</v>
      </c>
      <c r="B11" s="19" t="s">
        <v>62</v>
      </c>
      <c r="C11" s="38" t="s">
        <v>63</v>
      </c>
      <c r="D11" s="23" t="e">
        <f>Variables!#REF!</f>
        <v>#REF!</v>
      </c>
      <c r="E11" s="10">
        <v>72</v>
      </c>
      <c r="F11" s="41" t="e">
        <f>Variables!#REF!</f>
        <v>#REF!</v>
      </c>
      <c r="G11" s="42">
        <v>14.9431565932766</v>
      </c>
      <c r="H11" s="41" t="e">
        <f>Variables!#REF!</f>
        <v>#REF!</v>
      </c>
      <c r="I11" s="23" t="e">
        <f>Variables!#REF!</f>
        <v>#REF!</v>
      </c>
      <c r="J11" s="23" t="e">
        <f>Variables!#REF!</f>
        <v>#REF!</v>
      </c>
      <c r="K11" s="23" t="e">
        <f>Variables!#REF!</f>
        <v>#REF!</v>
      </c>
    </row>
    <row r="12" spans="1:11" ht="15.6" thickBot="1">
      <c r="A12" s="53" t="s">
        <v>71</v>
      </c>
      <c r="B12" s="17" t="s">
        <v>72</v>
      </c>
      <c r="C12" s="37" t="s">
        <v>73</v>
      </c>
      <c r="D12" s="23" t="e">
        <f>Variables!#REF!</f>
        <v>#REF!</v>
      </c>
      <c r="E12" s="10">
        <v>84</v>
      </c>
      <c r="F12" s="41" t="e">
        <f>Variables!#REF!</f>
        <v>#REF!</v>
      </c>
      <c r="G12" s="42">
        <v>56.425109247406901</v>
      </c>
      <c r="H12" s="41" t="e">
        <f>Variables!#REF!</f>
        <v>#REF!</v>
      </c>
      <c r="I12" s="23" t="e">
        <f>Variables!#REF!</f>
        <v>#REF!</v>
      </c>
      <c r="J12" s="23" t="e">
        <f>Variables!#REF!</f>
        <v>#REF!</v>
      </c>
      <c r="K12" s="23" t="e">
        <f>Variables!#REF!</f>
        <v>#REF!</v>
      </c>
    </row>
    <row r="13" spans="1:11" ht="15.6" thickBot="1">
      <c r="A13" s="54" t="s">
        <v>74</v>
      </c>
      <c r="B13" s="9" t="s">
        <v>75</v>
      </c>
      <c r="C13" s="38" t="s">
        <v>69</v>
      </c>
      <c r="D13" s="23" t="e">
        <f>Variables!#REF!</f>
        <v>#REF!</v>
      </c>
      <c r="E13" s="10">
        <v>70</v>
      </c>
      <c r="F13" s="41" t="e">
        <f>Variables!#REF!</f>
        <v>#REF!</v>
      </c>
      <c r="G13" s="42">
        <v>84.733298700184903</v>
      </c>
      <c r="H13" s="41" t="e">
        <f>Variables!#REF!</f>
        <v>#REF!</v>
      </c>
      <c r="I13" s="23" t="e">
        <f>Variables!#REF!</f>
        <v>#REF!</v>
      </c>
      <c r="J13" s="23" t="e">
        <f>Variables!#REF!</f>
        <v>#REF!</v>
      </c>
      <c r="K13" s="23" t="e">
        <f>Variables!#REF!</f>
        <v>#REF!</v>
      </c>
    </row>
    <row r="14" spans="1:11" ht="15.6" thickBot="1">
      <c r="A14" s="53" t="s">
        <v>76</v>
      </c>
      <c r="B14" s="17" t="s">
        <v>72</v>
      </c>
      <c r="C14" s="37" t="s">
        <v>73</v>
      </c>
      <c r="D14" s="23" t="e">
        <f>Variables!#REF!</f>
        <v>#REF!</v>
      </c>
      <c r="E14" s="10">
        <v>84</v>
      </c>
      <c r="F14" s="41" t="e">
        <f>Variables!#REF!</f>
        <v>#REF!</v>
      </c>
      <c r="G14" s="42">
        <v>66.571438422997701</v>
      </c>
      <c r="H14" s="41" t="e">
        <f>Variables!#REF!</f>
        <v>#REF!</v>
      </c>
      <c r="I14" s="23" t="e">
        <f>Variables!#REF!</f>
        <v>#REF!</v>
      </c>
      <c r="J14" s="23" t="e">
        <f>Variables!#REF!</f>
        <v>#REF!</v>
      </c>
      <c r="K14" s="23" t="e">
        <f>Variables!#REF!</f>
        <v>#REF!</v>
      </c>
    </row>
    <row r="15" spans="1:11" ht="15.6" thickBot="1">
      <c r="A15" s="54" t="s">
        <v>77</v>
      </c>
      <c r="B15" s="9" t="s">
        <v>78</v>
      </c>
      <c r="C15" s="38" t="s">
        <v>54</v>
      </c>
      <c r="D15" s="23" t="e">
        <f>Variables!#REF!</f>
        <v>#REF!</v>
      </c>
      <c r="E15" s="10">
        <v>81</v>
      </c>
      <c r="F15" s="41" t="e">
        <f>Variables!#REF!</f>
        <v>#REF!</v>
      </c>
      <c r="G15" s="42">
        <v>59.075081691560953</v>
      </c>
      <c r="H15" s="41" t="e">
        <f>Variables!#REF!</f>
        <v>#REF!</v>
      </c>
      <c r="I15" s="23" t="e">
        <f>Variables!#REF!</f>
        <v>#REF!</v>
      </c>
      <c r="J15" s="23" t="e">
        <f>Variables!#REF!</f>
        <v>#REF!</v>
      </c>
      <c r="K15" s="23" t="e">
        <f>Variables!#REF!</f>
        <v>#REF!</v>
      </c>
    </row>
    <row r="16" spans="1:11" ht="15.6" thickBot="1">
      <c r="A16" s="53" t="s">
        <v>79</v>
      </c>
      <c r="B16" s="17" t="s">
        <v>59</v>
      </c>
      <c r="C16" s="37" t="s">
        <v>60</v>
      </c>
      <c r="D16" s="23" t="e">
        <f>Variables!#REF!</f>
        <v>#REF!</v>
      </c>
      <c r="E16" s="10">
        <v>90</v>
      </c>
      <c r="F16" s="41" t="e">
        <f>Variables!#REF!</f>
        <v>#REF!</v>
      </c>
      <c r="G16" s="42">
        <v>91.511409322869596</v>
      </c>
      <c r="H16" s="41" t="e">
        <f>Variables!#REF!</f>
        <v>#REF!</v>
      </c>
      <c r="I16" s="23" t="e">
        <f>Variables!#REF!</f>
        <v>#REF!</v>
      </c>
      <c r="J16" s="23" t="e">
        <f>Variables!#REF!</f>
        <v>#REF!</v>
      </c>
      <c r="K16" s="23" t="e">
        <f>Variables!#REF!</f>
        <v>#REF!</v>
      </c>
    </row>
    <row r="17" spans="1:11" ht="15.6" thickBot="1">
      <c r="A17" s="54" t="s">
        <v>80</v>
      </c>
      <c r="B17" s="9" t="s">
        <v>59</v>
      </c>
      <c r="C17" s="38" t="s">
        <v>60</v>
      </c>
      <c r="D17" s="23" t="e">
        <f>Variables!#REF!</f>
        <v>#REF!</v>
      </c>
      <c r="E17" s="10">
        <v>90</v>
      </c>
      <c r="F17" s="41" t="e">
        <f>Variables!#REF!</f>
        <v>#REF!</v>
      </c>
      <c r="G17" s="42">
        <v>51.751450967400899</v>
      </c>
      <c r="H17" s="41" t="e">
        <f>Variables!#REF!</f>
        <v>#REF!</v>
      </c>
      <c r="I17" s="23" t="e">
        <f>Variables!#REF!</f>
        <v>#REF!</v>
      </c>
      <c r="J17" s="23" t="e">
        <f>Variables!#REF!</f>
        <v>#REF!</v>
      </c>
      <c r="K17" s="23" t="e">
        <f>Variables!#REF!</f>
        <v>#REF!</v>
      </c>
    </row>
    <row r="18" spans="1:11" ht="15.6" thickBot="1">
      <c r="A18" s="53" t="s">
        <v>81</v>
      </c>
      <c r="B18" s="17" t="s">
        <v>82</v>
      </c>
      <c r="C18" s="37" t="s">
        <v>57</v>
      </c>
      <c r="D18" s="23" t="e">
        <f>Variables!#REF!</f>
        <v>#REF!</v>
      </c>
      <c r="E18" s="10">
        <v>72</v>
      </c>
      <c r="F18" s="41" t="e">
        <f>Variables!#REF!</f>
        <v>#REF!</v>
      </c>
      <c r="G18" s="42">
        <v>69.620553862645053</v>
      </c>
      <c r="H18" s="41" t="e">
        <f>Variables!#REF!</f>
        <v>#REF!</v>
      </c>
      <c r="I18" s="23" t="e">
        <f>Variables!#REF!</f>
        <v>#REF!</v>
      </c>
      <c r="J18" s="23" t="e">
        <f>Variables!#REF!</f>
        <v>#REF!</v>
      </c>
      <c r="K18" s="23" t="e">
        <f>Variables!#REF!</f>
        <v>#REF!</v>
      </c>
    </row>
    <row r="19" spans="1:11" ht="15.6" thickBot="1">
      <c r="A19" s="54" t="s">
        <v>83</v>
      </c>
      <c r="B19" s="9" t="s">
        <v>84</v>
      </c>
      <c r="C19" s="38" t="s">
        <v>73</v>
      </c>
      <c r="D19" s="23" t="e">
        <f>Variables!#REF!</f>
        <v>#REF!</v>
      </c>
      <c r="E19" s="10">
        <v>83</v>
      </c>
      <c r="F19" s="41" t="e">
        <f>Variables!#REF!</f>
        <v>#REF!</v>
      </c>
      <c r="G19" s="42">
        <v>54.317242706718403</v>
      </c>
      <c r="H19" s="41" t="e">
        <f>Variables!#REF!</f>
        <v>#REF!</v>
      </c>
      <c r="I19" s="23" t="e">
        <f>Variables!#REF!</f>
        <v>#REF!</v>
      </c>
      <c r="J19" s="23" t="e">
        <f>Variables!#REF!</f>
        <v>#REF!</v>
      </c>
      <c r="K19" s="23" t="e">
        <f>Variables!#REF!</f>
        <v>#REF!</v>
      </c>
    </row>
    <row r="20" spans="1:11" ht="15.6" thickBot="1">
      <c r="A20" s="53" t="s">
        <v>85</v>
      </c>
      <c r="B20" s="17" t="s">
        <v>50</v>
      </c>
      <c r="C20" s="37" t="s">
        <v>51</v>
      </c>
      <c r="D20" s="23" t="e">
        <f>Variables!#REF!</f>
        <v>#REF!</v>
      </c>
      <c r="E20" s="10">
        <v>81</v>
      </c>
      <c r="F20" s="41" t="e">
        <f>Variables!#REF!</f>
        <v>#REF!</v>
      </c>
      <c r="G20" s="42">
        <v>50.670990000971102</v>
      </c>
      <c r="H20" s="41" t="e">
        <f>Variables!#REF!</f>
        <v>#REF!</v>
      </c>
      <c r="I20" s="23" t="e">
        <f>Variables!#REF!</f>
        <v>#REF!</v>
      </c>
      <c r="J20" s="23" t="e">
        <f>Variables!#REF!</f>
        <v>#REF!</v>
      </c>
      <c r="K20" s="23" t="e">
        <f>Variables!#REF!</f>
        <v>#REF!</v>
      </c>
    </row>
    <row r="21" spans="1:11" ht="15.6" thickBot="1">
      <c r="A21" s="54" t="s">
        <v>86</v>
      </c>
      <c r="B21" s="9" t="s">
        <v>87</v>
      </c>
      <c r="C21" s="38" t="s">
        <v>51</v>
      </c>
      <c r="D21" s="23" t="e">
        <f>Variables!#REF!</f>
        <v>#REF!</v>
      </c>
      <c r="E21" s="10">
        <v>78</v>
      </c>
      <c r="F21" s="41" t="e">
        <f>Variables!#REF!</f>
        <v>#REF!</v>
      </c>
      <c r="G21" s="42">
        <v>66.628106934386196</v>
      </c>
      <c r="H21" s="41" t="e">
        <f>Variables!#REF!</f>
        <v>#REF!</v>
      </c>
      <c r="I21" s="23" t="e">
        <f>Variables!#REF!</f>
        <v>#REF!</v>
      </c>
      <c r="J21" s="23" t="e">
        <f>Variables!#REF!</f>
        <v>#REF!</v>
      </c>
      <c r="K21" s="23" t="e">
        <f>Variables!#REF!</f>
        <v>#REF!</v>
      </c>
    </row>
    <row r="22" spans="1:11" ht="15.6" thickBot="1">
      <c r="A22" s="53" t="s">
        <v>88</v>
      </c>
      <c r="B22" s="17" t="s">
        <v>53</v>
      </c>
      <c r="C22" s="37" t="s">
        <v>54</v>
      </c>
      <c r="D22" s="23" t="e">
        <f>Variables!#REF!</f>
        <v>#REF!</v>
      </c>
      <c r="E22" s="10">
        <v>79</v>
      </c>
      <c r="F22" s="41" t="e">
        <f>Variables!#REF!</f>
        <v>#REF!</v>
      </c>
      <c r="G22" s="42">
        <v>57.9914115311826</v>
      </c>
      <c r="H22" s="41" t="e">
        <f>Variables!#REF!</f>
        <v>#REF!</v>
      </c>
      <c r="I22" s="23" t="e">
        <f>Variables!#REF!</f>
        <v>#REF!</v>
      </c>
      <c r="J22" s="23" t="e">
        <f>Variables!#REF!</f>
        <v>#REF!</v>
      </c>
      <c r="K22" s="23" t="e">
        <f>Variables!#REF!</f>
        <v>#REF!</v>
      </c>
    </row>
    <row r="23" spans="1:11" ht="15.6" thickBot="1">
      <c r="A23" s="54" t="s">
        <v>89</v>
      </c>
      <c r="B23" s="9" t="s">
        <v>90</v>
      </c>
      <c r="C23" s="38" t="s">
        <v>51</v>
      </c>
      <c r="D23" s="23" t="e">
        <f>Variables!#REF!</f>
        <v>#REF!</v>
      </c>
      <c r="E23" s="10">
        <v>79</v>
      </c>
      <c r="F23" s="41" t="e">
        <f>Variables!#REF!</f>
        <v>#REF!</v>
      </c>
      <c r="G23" s="42">
        <v>75.800274403850807</v>
      </c>
      <c r="H23" s="41" t="e">
        <f>Variables!#REF!</f>
        <v>#REF!</v>
      </c>
      <c r="I23" s="23" t="e">
        <f>Variables!#REF!</f>
        <v>#REF!</v>
      </c>
      <c r="J23" s="23" t="e">
        <f>Variables!#REF!</f>
        <v>#REF!</v>
      </c>
      <c r="K23" s="23" t="e">
        <f>Variables!#REF!</f>
        <v>#REF!</v>
      </c>
    </row>
    <row r="24" spans="1:11" ht="15.6" thickBot="1">
      <c r="A24" s="53" t="s">
        <v>91</v>
      </c>
      <c r="B24" s="17" t="s">
        <v>92</v>
      </c>
      <c r="C24" s="37" t="s">
        <v>63</v>
      </c>
      <c r="D24" s="23" t="e">
        <f>Variables!#REF!</f>
        <v>#REF!</v>
      </c>
      <c r="E24" s="10">
        <v>94</v>
      </c>
      <c r="F24" s="41" t="e">
        <f>Variables!#REF!</f>
        <v>#REF!</v>
      </c>
      <c r="G24" s="42">
        <v>75.800274403850807</v>
      </c>
      <c r="H24" s="41" t="e">
        <f>Variables!#REF!</f>
        <v>#REF!</v>
      </c>
      <c r="I24" s="23" t="e">
        <f>Variables!#REF!</f>
        <v>#REF!</v>
      </c>
      <c r="J24" s="23" t="e">
        <f>Variables!#REF!</f>
        <v>#REF!</v>
      </c>
      <c r="K24" s="23" t="e">
        <f>Variables!#REF!</f>
        <v>#REF!</v>
      </c>
    </row>
    <row r="25" spans="1:11" ht="15.6" thickBot="1">
      <c r="A25" s="54" t="s">
        <v>93</v>
      </c>
      <c r="B25" s="19" t="s">
        <v>62</v>
      </c>
      <c r="C25" s="38" t="s">
        <v>60</v>
      </c>
      <c r="D25" s="23" t="e">
        <f>Variables!#REF!</f>
        <v>#REF!</v>
      </c>
      <c r="E25" s="10">
        <v>95</v>
      </c>
      <c r="F25" s="41" t="e">
        <f>Variables!#REF!</f>
        <v>#REF!</v>
      </c>
      <c r="G25" s="42">
        <v>76.800274403850807</v>
      </c>
      <c r="H25" s="41" t="e">
        <f>Variables!#REF!</f>
        <v>#REF!</v>
      </c>
      <c r="I25" s="23" t="e">
        <f>Variables!#REF!</f>
        <v>#REF!</v>
      </c>
      <c r="J25" s="23" t="e">
        <f>Variables!#REF!</f>
        <v>#REF!</v>
      </c>
      <c r="K25" s="23" t="e">
        <f>Variables!#REF!</f>
        <v>#REF!</v>
      </c>
    </row>
    <row r="26" spans="1:11" ht="15.6" thickBot="1">
      <c r="A26" s="53" t="s">
        <v>94</v>
      </c>
      <c r="B26" s="17" t="s">
        <v>95</v>
      </c>
      <c r="C26" s="37" t="s">
        <v>60</v>
      </c>
      <c r="D26" s="23" t="e">
        <f>Variables!#REF!</f>
        <v>#REF!</v>
      </c>
      <c r="E26" s="10">
        <v>92</v>
      </c>
      <c r="F26" s="41" t="e">
        <f>Variables!#REF!</f>
        <v>#REF!</v>
      </c>
      <c r="G26" s="42">
        <v>41.621841630017499</v>
      </c>
      <c r="H26" s="41" t="e">
        <f>Variables!#REF!</f>
        <v>#REF!</v>
      </c>
      <c r="I26" s="23" t="e">
        <f>Variables!#REF!</f>
        <v>#REF!</v>
      </c>
      <c r="J26" s="23" t="e">
        <f>Variables!#REF!</f>
        <v>#REF!</v>
      </c>
      <c r="K26" s="23" t="e">
        <f>Variables!#REF!</f>
        <v>#REF!</v>
      </c>
    </row>
    <row r="27" spans="1:11" ht="15.6" thickBot="1">
      <c r="A27" s="54" t="s">
        <v>96</v>
      </c>
      <c r="B27" s="19" t="s">
        <v>97</v>
      </c>
      <c r="C27" s="38" t="s">
        <v>98</v>
      </c>
      <c r="D27" s="23" t="e">
        <f>Variables!#REF!</f>
        <v>#REF!</v>
      </c>
      <c r="E27" s="10">
        <v>100</v>
      </c>
      <c r="F27" s="41" t="e">
        <f>Variables!#REF!</f>
        <v>#REF!</v>
      </c>
      <c r="G27" s="42">
        <v>68.587742699436205</v>
      </c>
      <c r="H27" s="41" t="e">
        <f>Variables!#REF!</f>
        <v>#REF!</v>
      </c>
      <c r="I27" s="23" t="e">
        <f>Variables!#REF!</f>
        <v>#REF!</v>
      </c>
      <c r="J27" s="23" t="e">
        <f>Variables!#REF!</f>
        <v>#REF!</v>
      </c>
      <c r="K27" s="23" t="e">
        <f>Variables!#REF!</f>
        <v>#REF!</v>
      </c>
    </row>
    <row r="28" spans="1:11" ht="15.6" thickBot="1">
      <c r="A28" s="53" t="s">
        <v>99</v>
      </c>
      <c r="B28" s="17" t="s">
        <v>97</v>
      </c>
      <c r="C28" s="37" t="s">
        <v>98</v>
      </c>
      <c r="D28" s="23" t="e">
        <f>Variables!#REF!</f>
        <v>#REF!</v>
      </c>
      <c r="E28" s="10">
        <v>100</v>
      </c>
      <c r="F28" s="41" t="e">
        <f>Variables!#REF!</f>
        <v>#REF!</v>
      </c>
      <c r="G28" s="42">
        <v>72.4704200489046</v>
      </c>
      <c r="H28" s="41" t="e">
        <f>Variables!#REF!</f>
        <v>#REF!</v>
      </c>
      <c r="I28" s="23" t="e">
        <f>Variables!#REF!</f>
        <v>#REF!</v>
      </c>
      <c r="J28" s="23" t="e">
        <f>Variables!#REF!</f>
        <v>#REF!</v>
      </c>
      <c r="K28" s="23" t="e">
        <f>Variables!#REF!</f>
        <v>#REF!</v>
      </c>
    </row>
    <row r="29" spans="1:11" ht="15.6" thickBot="1">
      <c r="A29" s="54" t="s">
        <v>100</v>
      </c>
      <c r="B29" s="9" t="s">
        <v>101</v>
      </c>
      <c r="C29" s="38" t="s">
        <v>63</v>
      </c>
      <c r="D29" s="23" t="e">
        <f>Variables!#REF!</f>
        <v>#REF!</v>
      </c>
      <c r="E29" s="10">
        <v>97</v>
      </c>
      <c r="F29" s="41" t="e">
        <f>Variables!#REF!</f>
        <v>#REF!</v>
      </c>
      <c r="G29" s="42">
        <v>65.566402393966996</v>
      </c>
      <c r="H29" s="41" t="e">
        <f>Variables!#REF!</f>
        <v>#REF!</v>
      </c>
      <c r="I29" s="23" t="e">
        <f>Variables!#REF!</f>
        <v>#REF!</v>
      </c>
      <c r="J29" s="23" t="e">
        <f>Variables!#REF!</f>
        <v>#REF!</v>
      </c>
      <c r="K29" s="23" t="e">
        <f>Variables!#REF!</f>
        <v>#REF!</v>
      </c>
    </row>
    <row r="30" spans="1:11" ht="15.6" thickBot="1">
      <c r="A30" s="53" t="s">
        <v>102</v>
      </c>
      <c r="B30" s="17" t="s">
        <v>101</v>
      </c>
      <c r="C30" s="37" t="s">
        <v>63</v>
      </c>
      <c r="D30" s="23" t="e">
        <f>Variables!#REF!</f>
        <v>#REF!</v>
      </c>
      <c r="E30" s="10">
        <v>97</v>
      </c>
      <c r="F30" s="41" t="e">
        <f>Variables!#REF!</f>
        <v>#REF!</v>
      </c>
      <c r="G30" s="42">
        <v>61.9665118318769</v>
      </c>
      <c r="H30" s="41" t="e">
        <f>Variables!#REF!</f>
        <v>#REF!</v>
      </c>
      <c r="I30" s="23" t="e">
        <f>Variables!#REF!</f>
        <v>#REF!</v>
      </c>
      <c r="J30" s="23" t="e">
        <f>Variables!#REF!</f>
        <v>#REF!</v>
      </c>
      <c r="K30" s="23" t="e">
        <f>Variables!#REF!</f>
        <v>#REF!</v>
      </c>
    </row>
    <row r="31" spans="1:11" ht="15.6" thickBot="1">
      <c r="A31" s="54" t="s">
        <v>103</v>
      </c>
      <c r="B31" s="9" t="s">
        <v>101</v>
      </c>
      <c r="C31" s="38" t="s">
        <v>63</v>
      </c>
      <c r="D31" s="23" t="e">
        <f>Variables!#REF!</f>
        <v>#REF!</v>
      </c>
      <c r="E31" s="10">
        <v>97</v>
      </c>
      <c r="F31" s="41" t="e">
        <f>Variables!#REF!</f>
        <v>#REF!</v>
      </c>
      <c r="G31" s="42">
        <v>49.540522856752503</v>
      </c>
      <c r="H31" s="41" t="e">
        <f>Variables!#REF!</f>
        <v>#REF!</v>
      </c>
      <c r="I31" s="23" t="e">
        <f>Variables!#REF!</f>
        <v>#REF!</v>
      </c>
      <c r="J31" s="23" t="e">
        <f>Variables!#REF!</f>
        <v>#REF!</v>
      </c>
      <c r="K31" s="23" t="e">
        <f>Variables!#REF!</f>
        <v>#REF!</v>
      </c>
    </row>
    <row r="32" spans="1:11" ht="15.6" thickBot="1">
      <c r="A32" s="53" t="s">
        <v>104</v>
      </c>
      <c r="B32" s="20" t="s">
        <v>72</v>
      </c>
      <c r="C32" s="37" t="s">
        <v>73</v>
      </c>
      <c r="D32" s="23" t="e">
        <f>Variables!#REF!</f>
        <v>#REF!</v>
      </c>
      <c r="E32" s="10">
        <v>84</v>
      </c>
      <c r="F32" s="41" t="e">
        <f>Variables!#REF!</f>
        <v>#REF!</v>
      </c>
      <c r="G32" s="42">
        <v>51.835205465152001</v>
      </c>
      <c r="H32" s="41" t="e">
        <f>Variables!#REF!</f>
        <v>#REF!</v>
      </c>
      <c r="I32" s="23" t="e">
        <f>Variables!#REF!</f>
        <v>#REF!</v>
      </c>
      <c r="J32" s="23" t="e">
        <f>Variables!#REF!</f>
        <v>#REF!</v>
      </c>
      <c r="K32" s="23" t="e">
        <f>Variables!#REF!</f>
        <v>#REF!</v>
      </c>
    </row>
    <row r="33" spans="1:11" ht="15.6" thickBot="1">
      <c r="A33" s="54" t="s">
        <v>105</v>
      </c>
      <c r="B33" s="9" t="s">
        <v>84</v>
      </c>
      <c r="C33" s="38" t="s">
        <v>73</v>
      </c>
      <c r="D33" s="23" t="e">
        <f>Variables!#REF!</f>
        <v>#REF!</v>
      </c>
      <c r="E33" s="10">
        <v>83</v>
      </c>
      <c r="F33" s="41" t="e">
        <f>Variables!#REF!</f>
        <v>#REF!</v>
      </c>
      <c r="G33" s="42">
        <v>57.647366114323702</v>
      </c>
      <c r="H33" s="41" t="e">
        <f>Variables!#REF!</f>
        <v>#REF!</v>
      </c>
      <c r="I33" s="23" t="e">
        <f>Variables!#REF!</f>
        <v>#REF!</v>
      </c>
      <c r="J33" s="23" t="e">
        <f>Variables!#REF!</f>
        <v>#REF!</v>
      </c>
      <c r="K33" s="23" t="e">
        <f>Variables!#REF!</f>
        <v>#REF!</v>
      </c>
    </row>
    <row r="34" spans="1:11" ht="15.6" thickBot="1">
      <c r="A34" s="53" t="s">
        <v>106</v>
      </c>
      <c r="B34" s="17" t="s">
        <v>107</v>
      </c>
      <c r="C34" s="37" t="s">
        <v>108</v>
      </c>
      <c r="D34" s="23" t="e">
        <f>Variables!#REF!</f>
        <v>#REF!</v>
      </c>
      <c r="E34" s="10">
        <v>83</v>
      </c>
      <c r="F34" s="41" t="e">
        <f>Variables!#REF!</f>
        <v>#REF!</v>
      </c>
      <c r="G34" s="42">
        <v>73.731544281829997</v>
      </c>
      <c r="H34" s="41" t="e">
        <f>Variables!#REF!</f>
        <v>#REF!</v>
      </c>
      <c r="I34" s="23" t="e">
        <f>Variables!#REF!</f>
        <v>#REF!</v>
      </c>
      <c r="J34" s="23" t="e">
        <f>Variables!#REF!</f>
        <v>#REF!</v>
      </c>
      <c r="K34" s="23" t="e">
        <f>Variables!#REF!</f>
        <v>#REF!</v>
      </c>
    </row>
    <row r="35" spans="1:11" ht="15.6" thickBot="1">
      <c r="A35" s="54" t="s">
        <v>109</v>
      </c>
      <c r="B35" s="9" t="s">
        <v>87</v>
      </c>
      <c r="C35" s="38" t="s">
        <v>51</v>
      </c>
      <c r="D35" s="23" t="e">
        <f>Variables!#REF!</f>
        <v>#REF!</v>
      </c>
      <c r="E35" s="10">
        <v>78</v>
      </c>
      <c r="F35" s="41" t="e">
        <f>Variables!#REF!</f>
        <v>#REF!</v>
      </c>
      <c r="G35" s="42">
        <v>82.972051889068297</v>
      </c>
      <c r="H35" s="41" t="e">
        <f>Variables!#REF!</f>
        <v>#REF!</v>
      </c>
      <c r="I35" s="23" t="e">
        <f>Variables!#REF!</f>
        <v>#REF!</v>
      </c>
      <c r="J35" s="23" t="e">
        <f>Variables!#REF!</f>
        <v>#REF!</v>
      </c>
      <c r="K35" s="23" t="e">
        <f>Variables!#REF!</f>
        <v>#REF!</v>
      </c>
    </row>
    <row r="36" spans="1:11" ht="15.6" thickBot="1">
      <c r="A36" s="53" t="s">
        <v>110</v>
      </c>
      <c r="B36" s="17" t="s">
        <v>56</v>
      </c>
      <c r="C36" s="37" t="s">
        <v>57</v>
      </c>
      <c r="D36" s="23" t="e">
        <f>Variables!#REF!</f>
        <v>#REF!</v>
      </c>
      <c r="E36" s="10">
        <v>54</v>
      </c>
      <c r="F36" s="41" t="e">
        <f>Variables!#REF!</f>
        <v>#REF!</v>
      </c>
      <c r="G36" s="42">
        <v>74.738970023505402</v>
      </c>
      <c r="H36" s="41" t="e">
        <f>Variables!#REF!</f>
        <v>#REF!</v>
      </c>
      <c r="I36" s="23" t="e">
        <f>Variables!#REF!</f>
        <v>#REF!</v>
      </c>
      <c r="J36" s="23" t="e">
        <f>Variables!#REF!</f>
        <v>#REF!</v>
      </c>
      <c r="K36" s="23" t="e">
        <f>Variables!#REF!</f>
        <v>#REF!</v>
      </c>
    </row>
    <row r="37" spans="1:11" ht="15.6" thickBot="1">
      <c r="A37" s="54" t="s">
        <v>111</v>
      </c>
      <c r="B37" s="9" t="s">
        <v>56</v>
      </c>
      <c r="C37" s="38" t="s">
        <v>57</v>
      </c>
      <c r="D37" s="23" t="e">
        <f>Variables!#REF!</f>
        <v>#REF!</v>
      </c>
      <c r="E37" s="10">
        <v>54</v>
      </c>
      <c r="F37" s="41" t="e">
        <f>Variables!#REF!</f>
        <v>#REF!</v>
      </c>
      <c r="G37" s="42">
        <v>78.14503647007615</v>
      </c>
      <c r="H37" s="41" t="e">
        <f>Variables!#REF!</f>
        <v>#REF!</v>
      </c>
      <c r="I37" s="23" t="e">
        <f>Variables!#REF!</f>
        <v>#REF!</v>
      </c>
      <c r="J37" s="23" t="e">
        <f>Variables!#REF!</f>
        <v>#REF!</v>
      </c>
      <c r="K37" s="23" t="e">
        <f>Variables!#REF!</f>
        <v>#REF!</v>
      </c>
    </row>
    <row r="38" spans="1:11" ht="15.6" thickBot="1">
      <c r="A38" s="53" t="s">
        <v>112</v>
      </c>
      <c r="B38" s="17" t="s">
        <v>53</v>
      </c>
      <c r="C38" s="37" t="s">
        <v>54</v>
      </c>
      <c r="D38" s="23" t="e">
        <f>Variables!#REF!</f>
        <v>#REF!</v>
      </c>
      <c r="E38" s="10">
        <v>79</v>
      </c>
      <c r="F38" s="41" t="e">
        <f>Variables!#REF!</f>
        <v>#REF!</v>
      </c>
      <c r="G38" s="42">
        <v>79.309157294957899</v>
      </c>
      <c r="H38" s="41" t="e">
        <f>Variables!#REF!</f>
        <v>#REF!</v>
      </c>
      <c r="I38" s="23" t="e">
        <f>Variables!#REF!</f>
        <v>#REF!</v>
      </c>
      <c r="J38" s="23" t="e">
        <f>Variables!#REF!</f>
        <v>#REF!</v>
      </c>
      <c r="K38" s="23" t="e">
        <f>Variables!#REF!</f>
        <v>#REF!</v>
      </c>
    </row>
    <row r="39" spans="1:11" ht="15.6" thickBot="1">
      <c r="A39" s="54" t="s">
        <v>113</v>
      </c>
      <c r="B39" s="9" t="s">
        <v>114</v>
      </c>
      <c r="C39" s="38" t="s">
        <v>98</v>
      </c>
      <c r="D39" s="23" t="e">
        <f>Variables!#REF!</f>
        <v>#REF!</v>
      </c>
      <c r="E39" s="10">
        <v>89</v>
      </c>
      <c r="F39" s="41" t="e">
        <f>Variables!#REF!</f>
        <v>#REF!</v>
      </c>
      <c r="G39" s="42">
        <v>50.440680858639297</v>
      </c>
      <c r="H39" s="41" t="e">
        <f>Variables!#REF!</f>
        <v>#REF!</v>
      </c>
      <c r="I39" s="23" t="e">
        <f>Variables!#REF!</f>
        <v>#REF!</v>
      </c>
      <c r="J39" s="23" t="e">
        <f>Variables!#REF!</f>
        <v>#REF!</v>
      </c>
      <c r="K39" s="23" t="e">
        <f>Variables!#REF!</f>
        <v>#REF!</v>
      </c>
    </row>
    <row r="40" spans="1:11" ht="15.6" thickBot="1">
      <c r="A40" s="53" t="s">
        <v>115</v>
      </c>
      <c r="B40" s="20" t="s">
        <v>84</v>
      </c>
      <c r="C40" s="37" t="s">
        <v>73</v>
      </c>
      <c r="D40" s="23" t="e">
        <f>Variables!#REF!</f>
        <v>#REF!</v>
      </c>
      <c r="E40" s="10">
        <v>83</v>
      </c>
      <c r="F40" s="41" t="e">
        <f>Variables!#REF!</f>
        <v>#REF!</v>
      </c>
      <c r="G40" s="42">
        <v>64.584409953469105</v>
      </c>
      <c r="H40" s="41" t="e">
        <f>Variables!#REF!</f>
        <v>#REF!</v>
      </c>
      <c r="I40" s="23" t="e">
        <f>Variables!#REF!</f>
        <v>#REF!</v>
      </c>
      <c r="J40" s="23" t="e">
        <f>Variables!#REF!</f>
        <v>#REF!</v>
      </c>
      <c r="K40" s="23" t="e">
        <f>Variables!#REF!</f>
        <v>#REF!</v>
      </c>
    </row>
    <row r="41" spans="1:11" ht="15.6" thickBot="1">
      <c r="A41" s="54" t="s">
        <v>116</v>
      </c>
      <c r="B41" s="9" t="s">
        <v>72</v>
      </c>
      <c r="C41" s="38" t="s">
        <v>73</v>
      </c>
      <c r="D41" s="23" t="e">
        <f>Variables!#REF!</f>
        <v>#REF!</v>
      </c>
      <c r="E41" s="10">
        <v>84</v>
      </c>
      <c r="F41" s="41" t="e">
        <f>Variables!#REF!</f>
        <v>#REF!</v>
      </c>
      <c r="G41" s="42">
        <v>75.469433410970097</v>
      </c>
      <c r="H41" s="41" t="e">
        <f>Variables!#REF!</f>
        <v>#REF!</v>
      </c>
      <c r="I41" s="23" t="e">
        <f>Variables!#REF!</f>
        <v>#REF!</v>
      </c>
      <c r="J41" s="23" t="e">
        <f>Variables!#REF!</f>
        <v>#REF!</v>
      </c>
      <c r="K41" s="23" t="e">
        <f>Variables!#REF!</f>
        <v>#REF!</v>
      </c>
    </row>
    <row r="42" spans="1:11" ht="15.6" thickBot="1">
      <c r="A42" s="53" t="s">
        <v>117</v>
      </c>
      <c r="B42" s="17" t="s">
        <v>118</v>
      </c>
      <c r="C42" s="37" t="s">
        <v>63</v>
      </c>
      <c r="D42" s="23" t="e">
        <f>Variables!#REF!</f>
        <v>#REF!</v>
      </c>
      <c r="E42" s="10">
        <v>94</v>
      </c>
      <c r="F42" s="41" t="e">
        <f>Variables!#REF!</f>
        <v>#REF!</v>
      </c>
      <c r="G42" s="42">
        <v>68.877538463929142</v>
      </c>
      <c r="H42" s="41" t="e">
        <f>Variables!#REF!</f>
        <v>#REF!</v>
      </c>
      <c r="I42" s="23" t="e">
        <f>Variables!#REF!</f>
        <v>#REF!</v>
      </c>
      <c r="J42" s="23" t="e">
        <f>Variables!#REF!</f>
        <v>#REF!</v>
      </c>
      <c r="K42" s="23" t="e">
        <f>Variables!#REF!</f>
        <v>#REF!</v>
      </c>
    </row>
    <row r="43" spans="1:11" ht="15.6" thickBot="1">
      <c r="A43" s="54" t="s">
        <v>119</v>
      </c>
      <c r="B43" s="9" t="s">
        <v>120</v>
      </c>
      <c r="C43" s="38" t="s">
        <v>108</v>
      </c>
      <c r="D43" s="23" t="e">
        <f>Variables!#REF!</f>
        <v>#REF!</v>
      </c>
      <c r="E43" s="10">
        <v>84</v>
      </c>
      <c r="F43" s="41" t="e">
        <f>Variables!#REF!</f>
        <v>#REF!</v>
      </c>
      <c r="G43" s="42">
        <v>68.356533017939896</v>
      </c>
      <c r="H43" s="41" t="e">
        <f>Variables!#REF!</f>
        <v>#REF!</v>
      </c>
      <c r="I43" s="23" t="e">
        <f>Variables!#REF!</f>
        <v>#REF!</v>
      </c>
      <c r="J43" s="23" t="e">
        <f>Variables!#REF!</f>
        <v>#REF!</v>
      </c>
      <c r="K43" s="23" t="e">
        <f>Variables!#REF!</f>
        <v>#REF!</v>
      </c>
    </row>
    <row r="44" spans="1:11" ht="15.6" thickBot="1">
      <c r="A44" s="53" t="s">
        <v>121</v>
      </c>
      <c r="B44" s="17" t="s">
        <v>92</v>
      </c>
      <c r="C44" s="37" t="s">
        <v>63</v>
      </c>
      <c r="D44" s="23" t="e">
        <f>Variables!#REF!</f>
        <v>#REF!</v>
      </c>
      <c r="E44" s="10">
        <v>94</v>
      </c>
      <c r="F44" s="41" t="e">
        <f>Variables!#REF!</f>
        <v>#REF!</v>
      </c>
      <c r="G44" s="42">
        <v>54.273911397605303</v>
      </c>
      <c r="H44" s="41" t="e">
        <f>Variables!#REF!</f>
        <v>#REF!</v>
      </c>
      <c r="I44" s="23" t="e">
        <f>Variables!#REF!</f>
        <v>#REF!</v>
      </c>
      <c r="J44" s="23" t="e">
        <f>Variables!#REF!</f>
        <v>#REF!</v>
      </c>
      <c r="K44" s="23" t="e">
        <f>Variables!#REF!</f>
        <v>#REF!</v>
      </c>
    </row>
    <row r="45" spans="1:11" ht="15.6" thickBot="1">
      <c r="A45" s="54" t="s">
        <v>122</v>
      </c>
      <c r="B45" s="9" t="s">
        <v>92</v>
      </c>
      <c r="C45" s="38" t="s">
        <v>63</v>
      </c>
      <c r="D45" s="23" t="e">
        <f>Variables!#REF!</f>
        <v>#REF!</v>
      </c>
      <c r="E45" s="10">
        <v>94</v>
      </c>
      <c r="F45" s="41" t="e">
        <f>Variables!#REF!</f>
        <v>#REF!</v>
      </c>
      <c r="G45" s="42">
        <v>52.070061287063197</v>
      </c>
      <c r="H45" s="41" t="e">
        <f>Variables!#REF!</f>
        <v>#REF!</v>
      </c>
      <c r="I45" s="23" t="e">
        <f>Variables!#REF!</f>
        <v>#REF!</v>
      </c>
      <c r="J45" s="23" t="e">
        <f>Variables!#REF!</f>
        <v>#REF!</v>
      </c>
      <c r="K45" s="23" t="e">
        <f>Variables!#REF!</f>
        <v>#REF!</v>
      </c>
    </row>
    <row r="46" spans="1:11" ht="15.6" thickBot="1">
      <c r="A46" s="53" t="s">
        <v>123</v>
      </c>
      <c r="B46" s="17" t="s">
        <v>114</v>
      </c>
      <c r="C46" s="37" t="s">
        <v>98</v>
      </c>
      <c r="D46" s="23" t="e">
        <f>Variables!#REF!</f>
        <v>#REF!</v>
      </c>
      <c r="E46" s="10">
        <v>89</v>
      </c>
      <c r="F46" s="41" t="e">
        <f>Variables!#REF!</f>
        <v>#REF!</v>
      </c>
      <c r="G46" s="42">
        <v>64.183684729063202</v>
      </c>
      <c r="H46" s="41" t="e">
        <f>Variables!#REF!</f>
        <v>#REF!</v>
      </c>
      <c r="I46" s="23" t="e">
        <f>Variables!#REF!</f>
        <v>#REF!</v>
      </c>
      <c r="J46" s="23" t="e">
        <f>Variables!#REF!</f>
        <v>#REF!</v>
      </c>
      <c r="K46" s="23" t="e">
        <f>Variables!#REF!</f>
        <v>#REF!</v>
      </c>
    </row>
    <row r="47" spans="1:11" ht="15.6" thickBot="1">
      <c r="A47" s="54" t="s">
        <v>124</v>
      </c>
      <c r="B47" s="9" t="s">
        <v>114</v>
      </c>
      <c r="C47" s="38" t="s">
        <v>98</v>
      </c>
      <c r="D47" s="23" t="e">
        <f>Variables!#REF!</f>
        <v>#REF!</v>
      </c>
      <c r="E47" s="10">
        <v>89</v>
      </c>
      <c r="F47" s="41" t="e">
        <f>Variables!#REF!</f>
        <v>#REF!</v>
      </c>
      <c r="G47" s="42">
        <v>64.845191676584705</v>
      </c>
      <c r="H47" s="41" t="e">
        <f>Variables!#REF!</f>
        <v>#REF!</v>
      </c>
      <c r="I47" s="23" t="e">
        <f>Variables!#REF!</f>
        <v>#REF!</v>
      </c>
      <c r="J47" s="23" t="e">
        <f>Variables!#REF!</f>
        <v>#REF!</v>
      </c>
      <c r="K47" s="23" t="e">
        <f>Variables!#REF!</f>
        <v>#REF!</v>
      </c>
    </row>
    <row r="48" spans="1:11" ht="15.6" thickBot="1">
      <c r="A48" s="53" t="s">
        <v>125</v>
      </c>
      <c r="B48" s="17" t="s">
        <v>114</v>
      </c>
      <c r="C48" s="37" t="s">
        <v>98</v>
      </c>
      <c r="D48" s="23" t="e">
        <f>Variables!#REF!</f>
        <v>#REF!</v>
      </c>
      <c r="E48" s="10">
        <v>89</v>
      </c>
      <c r="F48" s="41" t="e">
        <f>Variables!#REF!</f>
        <v>#REF!</v>
      </c>
      <c r="G48" s="42">
        <v>68.020520599514498</v>
      </c>
      <c r="H48" s="41" t="e">
        <f>Variables!#REF!</f>
        <v>#REF!</v>
      </c>
      <c r="I48" s="23" t="e">
        <f>Variables!#REF!</f>
        <v>#REF!</v>
      </c>
      <c r="J48" s="23" t="e">
        <f>Variables!#REF!</f>
        <v>#REF!</v>
      </c>
      <c r="K48" s="23" t="e">
        <f>Variables!#REF!</f>
        <v>#REF!</v>
      </c>
    </row>
    <row r="49" spans="1:11" ht="15.6" thickBot="1">
      <c r="A49" s="54" t="s">
        <v>126</v>
      </c>
      <c r="B49" s="9" t="s">
        <v>127</v>
      </c>
      <c r="C49" s="38" t="s">
        <v>69</v>
      </c>
      <c r="D49" s="23" t="e">
        <f>Variables!#REF!</f>
        <v>#REF!</v>
      </c>
      <c r="E49" s="10">
        <v>74</v>
      </c>
      <c r="F49" s="41" t="e">
        <f>Variables!#REF!</f>
        <v>#REF!</v>
      </c>
      <c r="G49" s="42">
        <v>73.442608050729206</v>
      </c>
      <c r="H49" s="41" t="e">
        <f>Variables!#REF!</f>
        <v>#REF!</v>
      </c>
      <c r="I49" s="23" t="e">
        <f>Variables!#REF!</f>
        <v>#REF!</v>
      </c>
      <c r="J49" s="23" t="e">
        <f>Variables!#REF!</f>
        <v>#REF!</v>
      </c>
      <c r="K49" s="23" t="e">
        <f>Variables!#REF!</f>
        <v>#REF!</v>
      </c>
    </row>
    <row r="50" spans="1:11" ht="15.6" thickBot="1">
      <c r="A50" s="53" t="s">
        <v>128</v>
      </c>
      <c r="B50" s="17" t="s">
        <v>127</v>
      </c>
      <c r="C50" s="37" t="s">
        <v>69</v>
      </c>
      <c r="D50" s="23" t="e">
        <f>Variables!#REF!</f>
        <v>#REF!</v>
      </c>
      <c r="E50" s="10">
        <v>74</v>
      </c>
      <c r="F50" s="41" t="e">
        <f>Variables!#REF!</f>
        <v>#REF!</v>
      </c>
      <c r="G50" s="42">
        <v>71.268282212563008</v>
      </c>
      <c r="H50" s="41" t="e">
        <f>Variables!#REF!</f>
        <v>#REF!</v>
      </c>
      <c r="I50" s="23" t="e">
        <f>Variables!#REF!</f>
        <v>#REF!</v>
      </c>
      <c r="J50" s="23" t="e">
        <f>Variables!#REF!</f>
        <v>#REF!</v>
      </c>
      <c r="K50" s="23" t="e">
        <f>Variables!#REF!</f>
        <v>#REF!</v>
      </c>
    </row>
    <row r="51" spans="1:11" ht="15.6" thickBot="1">
      <c r="A51" s="54" t="s">
        <v>129</v>
      </c>
      <c r="B51" s="9" t="s">
        <v>53</v>
      </c>
      <c r="C51" s="38" t="s">
        <v>54</v>
      </c>
      <c r="D51" s="23" t="e">
        <f>Variables!#REF!</f>
        <v>#REF!</v>
      </c>
      <c r="E51" s="10">
        <v>79</v>
      </c>
      <c r="F51" s="41" t="e">
        <f>Variables!#REF!</f>
        <v>#REF!</v>
      </c>
      <c r="G51" s="42">
        <v>67.230907293876399</v>
      </c>
      <c r="H51" s="41" t="e">
        <f>Variables!#REF!</f>
        <v>#REF!</v>
      </c>
      <c r="I51" s="23" t="e">
        <f>Variables!#REF!</f>
        <v>#REF!</v>
      </c>
      <c r="J51" s="23" t="e">
        <f>Variables!#REF!</f>
        <v>#REF!</v>
      </c>
      <c r="K51" s="23" t="e">
        <f>Variables!#REF!</f>
        <v>#REF!</v>
      </c>
    </row>
    <row r="52" spans="1:11" ht="15.6" thickBot="1">
      <c r="A52" s="53" t="s">
        <v>130</v>
      </c>
      <c r="B52" s="17" t="s">
        <v>131</v>
      </c>
      <c r="C52" s="37" t="s">
        <v>60</v>
      </c>
      <c r="D52" s="23" t="e">
        <f>Variables!#REF!</f>
        <v>#REF!</v>
      </c>
      <c r="E52" s="10">
        <v>91</v>
      </c>
      <c r="F52" s="41" t="e">
        <f>Variables!#REF!</f>
        <v>#REF!</v>
      </c>
      <c r="G52" s="42">
        <v>56.099381510703331</v>
      </c>
      <c r="H52" s="41" t="e">
        <f>Variables!#REF!</f>
        <v>#REF!</v>
      </c>
      <c r="I52" s="23" t="e">
        <f>Variables!#REF!</f>
        <v>#REF!</v>
      </c>
      <c r="J52" s="23" t="e">
        <f>Variables!#REF!</f>
        <v>#REF!</v>
      </c>
      <c r="K52" s="23" t="e">
        <f>Variables!#REF!</f>
        <v>#REF!</v>
      </c>
    </row>
    <row r="53" spans="1:11" ht="15.6" thickBot="1">
      <c r="A53" s="54" t="s">
        <v>132</v>
      </c>
      <c r="B53" s="9" t="s">
        <v>133</v>
      </c>
      <c r="C53" s="38" t="s">
        <v>134</v>
      </c>
      <c r="D53" s="23" t="e">
        <f>Variables!#REF!</f>
        <v>#REF!</v>
      </c>
      <c r="E53" s="10">
        <v>71</v>
      </c>
      <c r="F53" s="41" t="e">
        <f>Variables!#REF!</f>
        <v>#REF!</v>
      </c>
      <c r="G53" s="42">
        <v>77.798226740829648</v>
      </c>
      <c r="H53" s="41" t="e">
        <f>Variables!#REF!</f>
        <v>#REF!</v>
      </c>
      <c r="I53" s="23" t="e">
        <f>Variables!#REF!</f>
        <v>#REF!</v>
      </c>
      <c r="J53" s="23" t="e">
        <f>Variables!#REF!</f>
        <v>#REF!</v>
      </c>
      <c r="K53" s="23" t="e">
        <f>Variables!#REF!</f>
        <v>#REF!</v>
      </c>
    </row>
    <row r="54" spans="1:11" ht="15.6" thickBot="1">
      <c r="A54" s="53" t="s">
        <v>135</v>
      </c>
      <c r="B54" s="17" t="s">
        <v>136</v>
      </c>
      <c r="C54" s="37" t="s">
        <v>98</v>
      </c>
      <c r="D54" s="23" t="e">
        <f>Variables!#REF!</f>
        <v>#REF!</v>
      </c>
      <c r="E54" s="10">
        <v>86</v>
      </c>
      <c r="F54" s="41" t="e">
        <f>Variables!#REF!</f>
        <v>#REF!</v>
      </c>
      <c r="G54" s="42">
        <v>65.380935118685173</v>
      </c>
      <c r="H54" s="41" t="e">
        <f>Variables!#REF!</f>
        <v>#REF!</v>
      </c>
      <c r="I54" s="23" t="e">
        <f>Variables!#REF!</f>
        <v>#REF!</v>
      </c>
      <c r="J54" s="23" t="e">
        <f>Variables!#REF!</f>
        <v>#REF!</v>
      </c>
      <c r="K54" s="23" t="e">
        <f>Variables!#REF!</f>
        <v>#REF!</v>
      </c>
    </row>
    <row r="55" spans="1:11" ht="15.6" thickBot="1">
      <c r="A55" s="54" t="s">
        <v>137</v>
      </c>
      <c r="B55" s="19" t="s">
        <v>75</v>
      </c>
      <c r="C55" s="38" t="s">
        <v>69</v>
      </c>
      <c r="D55" s="23" t="e">
        <f>Variables!#REF!</f>
        <v>#REF!</v>
      </c>
      <c r="E55" s="10">
        <v>70</v>
      </c>
      <c r="F55" s="41" t="e">
        <f>Variables!#REF!</f>
        <v>#REF!</v>
      </c>
      <c r="G55" s="42">
        <v>70.951363938556199</v>
      </c>
      <c r="H55" s="41" t="e">
        <f>Variables!#REF!</f>
        <v>#REF!</v>
      </c>
      <c r="I55" s="23" t="e">
        <f>Variables!#REF!</f>
        <v>#REF!</v>
      </c>
      <c r="J55" s="23" t="e">
        <f>Variables!#REF!</f>
        <v>#REF!</v>
      </c>
      <c r="K55" s="23" t="e">
        <f>Variables!#REF!</f>
        <v>#REF!</v>
      </c>
    </row>
    <row r="56" spans="1:11" ht="15.6" thickBot="1">
      <c r="A56" s="53" t="s">
        <v>138</v>
      </c>
      <c r="B56" s="20" t="s">
        <v>75</v>
      </c>
      <c r="C56" s="37" t="s">
        <v>69</v>
      </c>
      <c r="D56" s="23" t="e">
        <f>Variables!#REF!</f>
        <v>#REF!</v>
      </c>
      <c r="E56" s="10">
        <v>70</v>
      </c>
      <c r="F56" s="41" t="e">
        <f>Variables!#REF!</f>
        <v>#REF!</v>
      </c>
      <c r="G56" s="42">
        <v>79.434303459269799</v>
      </c>
      <c r="H56" s="41" t="e">
        <f>Variables!#REF!</f>
        <v>#REF!</v>
      </c>
      <c r="I56" s="23" t="e">
        <f>Variables!#REF!</f>
        <v>#REF!</v>
      </c>
      <c r="J56" s="23" t="e">
        <f>Variables!#REF!</f>
        <v>#REF!</v>
      </c>
      <c r="K56" s="23" t="e">
        <f>Variables!#REF!</f>
        <v>#REF!</v>
      </c>
    </row>
    <row r="57" spans="1:11" ht="15.6" thickBot="1">
      <c r="A57" s="54" t="s">
        <v>139</v>
      </c>
      <c r="B57" s="9" t="s">
        <v>72</v>
      </c>
      <c r="C57" s="38" t="s">
        <v>73</v>
      </c>
      <c r="D57" s="23" t="e">
        <f>Variables!#REF!</f>
        <v>#REF!</v>
      </c>
      <c r="E57" s="10">
        <v>84</v>
      </c>
      <c r="F57" s="41" t="e">
        <f>Variables!#REF!</f>
        <v>#REF!</v>
      </c>
      <c r="G57" s="42">
        <v>85.1149539939466</v>
      </c>
      <c r="H57" s="41" t="e">
        <f>Variables!#REF!</f>
        <v>#REF!</v>
      </c>
      <c r="I57" s="23" t="e">
        <f>Variables!#REF!</f>
        <v>#REF!</v>
      </c>
      <c r="J57" s="23" t="e">
        <f>Variables!#REF!</f>
        <v>#REF!</v>
      </c>
      <c r="K57" s="23" t="e">
        <f>Variables!#REF!</f>
        <v>#REF!</v>
      </c>
    </row>
    <row r="58" spans="1:11" ht="15.6" thickBot="1">
      <c r="A58" s="53" t="s">
        <v>140</v>
      </c>
      <c r="B58" s="17" t="s">
        <v>141</v>
      </c>
      <c r="C58" s="37" t="s">
        <v>51</v>
      </c>
      <c r="D58" s="23" t="e">
        <f>Variables!#REF!</f>
        <v>#REF!</v>
      </c>
      <c r="E58" s="10">
        <v>82</v>
      </c>
      <c r="F58" s="41" t="e">
        <f>Variables!#REF!</f>
        <v>#REF!</v>
      </c>
      <c r="G58" s="42">
        <v>63.937991754450302</v>
      </c>
      <c r="H58" s="41" t="e">
        <f>Variables!#REF!</f>
        <v>#REF!</v>
      </c>
      <c r="I58" s="23" t="e">
        <f>Variables!#REF!</f>
        <v>#REF!</v>
      </c>
      <c r="J58" s="23" t="e">
        <f>Variables!#REF!</f>
        <v>#REF!</v>
      </c>
      <c r="K58" s="23" t="e">
        <f>Variables!#REF!</f>
        <v>#REF!</v>
      </c>
    </row>
    <row r="59" spans="1:11" ht="15.6" thickBot="1">
      <c r="A59" s="54" t="s">
        <v>142</v>
      </c>
      <c r="B59" s="9" t="s">
        <v>72</v>
      </c>
      <c r="C59" s="38" t="s">
        <v>73</v>
      </c>
      <c r="D59" s="23" t="e">
        <f>Variables!#REF!</f>
        <v>#REF!</v>
      </c>
      <c r="E59" s="10">
        <v>84</v>
      </c>
      <c r="F59" s="41" t="e">
        <f>Variables!#REF!</f>
        <v>#REF!</v>
      </c>
      <c r="G59" s="42">
        <v>71.020194872968602</v>
      </c>
      <c r="H59" s="41" t="e">
        <f>Variables!#REF!</f>
        <v>#REF!</v>
      </c>
      <c r="I59" s="23" t="e">
        <f>Variables!#REF!</f>
        <v>#REF!</v>
      </c>
      <c r="J59" s="23" t="e">
        <f>Variables!#REF!</f>
        <v>#REF!</v>
      </c>
      <c r="K59" s="23" t="e">
        <f>Variables!#REF!</f>
        <v>#REF!</v>
      </c>
    </row>
    <row r="60" spans="1:11" ht="15.6" thickBot="1">
      <c r="A60" s="53" t="s">
        <v>143</v>
      </c>
      <c r="B60" s="17" t="s">
        <v>50</v>
      </c>
      <c r="C60" s="37" t="s">
        <v>51</v>
      </c>
      <c r="D60" s="23" t="e">
        <f>Variables!#REF!</f>
        <v>#REF!</v>
      </c>
      <c r="E60" s="10">
        <v>81</v>
      </c>
      <c r="F60" s="41" t="e">
        <f>Variables!#REF!</f>
        <v>#REF!</v>
      </c>
      <c r="G60" s="42">
        <v>80.737996762794253</v>
      </c>
      <c r="H60" s="41" t="e">
        <f>Variables!#REF!</f>
        <v>#REF!</v>
      </c>
      <c r="I60" s="23" t="e">
        <f>Variables!#REF!</f>
        <v>#REF!</v>
      </c>
      <c r="J60" s="23" t="e">
        <f>Variables!#REF!</f>
        <v>#REF!</v>
      </c>
      <c r="K60" s="23" t="e">
        <f>Variables!#REF!</f>
        <v>#REF!</v>
      </c>
    </row>
    <row r="61" spans="1:11" ht="15.6" thickBot="1">
      <c r="A61" s="54" t="s">
        <v>144</v>
      </c>
      <c r="B61" s="9" t="s">
        <v>97</v>
      </c>
      <c r="C61" s="38" t="s">
        <v>98</v>
      </c>
      <c r="D61" s="23" t="e">
        <f>Variables!#REF!</f>
        <v>#REF!</v>
      </c>
      <c r="E61" s="10">
        <v>100</v>
      </c>
      <c r="F61" s="41" t="e">
        <f>Variables!#REF!</f>
        <v>#REF!</v>
      </c>
      <c r="G61" s="42">
        <v>85.816662652243295</v>
      </c>
      <c r="H61" s="41" t="e">
        <f>Variables!#REF!</f>
        <v>#REF!</v>
      </c>
      <c r="I61" s="23" t="e">
        <f>Variables!#REF!</f>
        <v>#REF!</v>
      </c>
      <c r="J61" s="23" t="e">
        <f>Variables!#REF!</f>
        <v>#REF!</v>
      </c>
      <c r="K61" s="23" t="e">
        <f>Variables!#REF!</f>
        <v>#REF!</v>
      </c>
    </row>
    <row r="62" spans="1:11" ht="15.6" thickBot="1">
      <c r="A62" s="53" t="s">
        <v>145</v>
      </c>
      <c r="B62" s="20" t="s">
        <v>68</v>
      </c>
      <c r="C62" s="37" t="s">
        <v>69</v>
      </c>
      <c r="D62" s="23" t="e">
        <f>Variables!#REF!</f>
        <v>#REF!</v>
      </c>
      <c r="E62" s="10">
        <v>71</v>
      </c>
      <c r="F62" s="41" t="e">
        <f>Variables!#REF!</f>
        <v>#REF!</v>
      </c>
      <c r="G62" s="42">
        <v>72.991549461790498</v>
      </c>
      <c r="H62" s="41" t="e">
        <f>Variables!#REF!</f>
        <v>#REF!</v>
      </c>
      <c r="I62" s="23" t="e">
        <f>Variables!#REF!</f>
        <v>#REF!</v>
      </c>
      <c r="J62" s="23" t="e">
        <f>Variables!#REF!</f>
        <v>#REF!</v>
      </c>
      <c r="K62" s="23" t="e">
        <f>Variables!#REF!</f>
        <v>#REF!</v>
      </c>
    </row>
    <row r="63" spans="1:11" ht="15.6" thickBot="1">
      <c r="A63" s="54" t="s">
        <v>146</v>
      </c>
      <c r="B63" s="19" t="s">
        <v>68</v>
      </c>
      <c r="C63" s="38" t="s">
        <v>69</v>
      </c>
      <c r="D63" s="23" t="e">
        <f>Variables!#REF!</f>
        <v>#REF!</v>
      </c>
      <c r="E63" s="10">
        <v>71</v>
      </c>
      <c r="F63" s="41" t="e">
        <f>Variables!#REF!</f>
        <v>#REF!</v>
      </c>
      <c r="G63" s="42">
        <v>63.309820251580398</v>
      </c>
      <c r="H63" s="41" t="e">
        <f>Variables!#REF!</f>
        <v>#REF!</v>
      </c>
      <c r="I63" s="23" t="e">
        <f>Variables!#REF!</f>
        <v>#REF!</v>
      </c>
      <c r="J63" s="23" t="e">
        <f>Variables!#REF!</f>
        <v>#REF!</v>
      </c>
      <c r="K63" s="23" t="e">
        <f>Variables!#REF!</f>
        <v>#REF!</v>
      </c>
    </row>
    <row r="64" spans="1:11" ht="15.6" thickBot="1">
      <c r="A64" s="53" t="s">
        <v>147</v>
      </c>
      <c r="B64" s="17" t="s">
        <v>78</v>
      </c>
      <c r="C64" s="37" t="s">
        <v>54</v>
      </c>
      <c r="D64" s="23" t="e">
        <f>Variables!#REF!</f>
        <v>#REF!</v>
      </c>
      <c r="E64" s="10">
        <v>81</v>
      </c>
      <c r="F64" s="41" t="e">
        <f>Variables!#REF!</f>
        <v>#REF!</v>
      </c>
      <c r="G64" s="42">
        <v>71.571834628124009</v>
      </c>
      <c r="H64" s="41" t="e">
        <f>Variables!#REF!</f>
        <v>#REF!</v>
      </c>
      <c r="I64" s="23" t="e">
        <f>Variables!#REF!</f>
        <v>#REF!</v>
      </c>
      <c r="J64" s="23" t="e">
        <f>Variables!#REF!</f>
        <v>#REF!</v>
      </c>
      <c r="K64" s="23" t="e">
        <f>Variables!#REF!</f>
        <v>#REF!</v>
      </c>
    </row>
    <row r="65" spans="1:11" ht="15.6" thickBot="1">
      <c r="A65" s="54" t="s">
        <v>148</v>
      </c>
      <c r="B65" s="9" t="s">
        <v>118</v>
      </c>
      <c r="C65" s="38" t="s">
        <v>63</v>
      </c>
      <c r="D65" s="23" t="e">
        <f>Variables!#REF!</f>
        <v>#REF!</v>
      </c>
      <c r="E65" s="10">
        <v>94</v>
      </c>
      <c r="F65" s="41" t="e">
        <f>Variables!#REF!</f>
        <v>#REF!</v>
      </c>
      <c r="G65" s="42">
        <v>71.741410750160796</v>
      </c>
      <c r="H65" s="41" t="e">
        <f>Variables!#REF!</f>
        <v>#REF!</v>
      </c>
      <c r="I65" s="23" t="e">
        <f>Variables!#REF!</f>
        <v>#REF!</v>
      </c>
      <c r="J65" s="23" t="e">
        <f>Variables!#REF!</f>
        <v>#REF!</v>
      </c>
      <c r="K65" s="23" t="e">
        <f>Variables!#REF!</f>
        <v>#REF!</v>
      </c>
    </row>
    <row r="66" spans="1:11" ht="15.6" thickBot="1">
      <c r="A66" s="53" t="s">
        <v>149</v>
      </c>
      <c r="B66" s="17" t="s">
        <v>118</v>
      </c>
      <c r="C66" s="37" t="s">
        <v>63</v>
      </c>
      <c r="D66" s="23" t="e">
        <f>Variables!#REF!</f>
        <v>#REF!</v>
      </c>
      <c r="E66" s="10">
        <v>94</v>
      </c>
      <c r="F66" s="41" t="e">
        <f>Variables!#REF!</f>
        <v>#REF!</v>
      </c>
      <c r="G66" s="42">
        <v>64.521353955738704</v>
      </c>
      <c r="H66" s="41" t="e">
        <f>Variables!#REF!</f>
        <v>#REF!</v>
      </c>
      <c r="I66" s="23" t="e">
        <f>Variables!#REF!</f>
        <v>#REF!</v>
      </c>
      <c r="J66" s="23" t="e">
        <f>Variables!#REF!</f>
        <v>#REF!</v>
      </c>
      <c r="K66" s="23" t="e">
        <f>Variables!#REF!</f>
        <v>#REF!</v>
      </c>
    </row>
    <row r="67" spans="1:11" ht="15.6" thickBot="1">
      <c r="A67" s="54" t="s">
        <v>150</v>
      </c>
      <c r="B67" s="9" t="s">
        <v>141</v>
      </c>
      <c r="C67" s="38" t="s">
        <v>51</v>
      </c>
      <c r="D67" s="23" t="e">
        <f>Variables!#REF!</f>
        <v>#REF!</v>
      </c>
      <c r="E67" s="10">
        <v>82</v>
      </c>
      <c r="F67" s="41" t="e">
        <f>Variables!#REF!</f>
        <v>#REF!</v>
      </c>
      <c r="G67" s="42">
        <v>70.958799502634093</v>
      </c>
      <c r="H67" s="41" t="e">
        <f>Variables!#REF!</f>
        <v>#REF!</v>
      </c>
      <c r="I67" s="23" t="e">
        <f>Variables!#REF!</f>
        <v>#REF!</v>
      </c>
      <c r="J67" s="23" t="e">
        <f>Variables!#REF!</f>
        <v>#REF!</v>
      </c>
      <c r="K67" s="23" t="e">
        <f>Variables!#REF!</f>
        <v>#REF!</v>
      </c>
    </row>
    <row r="68" spans="1:11" ht="15.6" thickBot="1">
      <c r="A68" s="53" t="s">
        <v>151</v>
      </c>
      <c r="B68" s="17" t="s">
        <v>141</v>
      </c>
      <c r="C68" s="37" t="s">
        <v>51</v>
      </c>
      <c r="D68" s="23" t="e">
        <f>Variables!#REF!</f>
        <v>#REF!</v>
      </c>
      <c r="E68" s="10">
        <v>82</v>
      </c>
      <c r="F68" s="41" t="e">
        <f>Variables!#REF!</f>
        <v>#REF!</v>
      </c>
      <c r="G68" s="42">
        <v>72.792820872554898</v>
      </c>
      <c r="H68" s="41" t="e">
        <f>Variables!#REF!</f>
        <v>#REF!</v>
      </c>
      <c r="I68" s="23" t="e">
        <f>Variables!#REF!</f>
        <v>#REF!</v>
      </c>
      <c r="J68" s="23" t="e">
        <f>Variables!#REF!</f>
        <v>#REF!</v>
      </c>
      <c r="K68" s="23" t="e">
        <f>Variables!#REF!</f>
        <v>#REF!</v>
      </c>
    </row>
    <row r="69" spans="1:11" ht="15.6" thickBot="1">
      <c r="A69" s="54" t="s">
        <v>152</v>
      </c>
      <c r="B69" s="9" t="s">
        <v>153</v>
      </c>
      <c r="C69" s="38" t="s">
        <v>134</v>
      </c>
      <c r="D69" s="23" t="e">
        <f>Variables!#REF!</f>
        <v>#REF!</v>
      </c>
      <c r="E69" s="10">
        <v>71</v>
      </c>
      <c r="F69" s="41" t="e">
        <f>Variables!#REF!</f>
        <v>#REF!</v>
      </c>
      <c r="G69" s="42">
        <v>60.703374089116203</v>
      </c>
      <c r="H69" s="41" t="e">
        <f>Variables!#REF!</f>
        <v>#REF!</v>
      </c>
      <c r="I69" s="23" t="e">
        <f>Variables!#REF!</f>
        <v>#REF!</v>
      </c>
      <c r="J69" s="23" t="e">
        <f>Variables!#REF!</f>
        <v>#REF!</v>
      </c>
      <c r="K69" s="23" t="e">
        <f>Variables!#REF!</f>
        <v>#REF!</v>
      </c>
    </row>
    <row r="70" spans="1:11" ht="15.6" thickBot="1">
      <c r="A70" s="53" t="s">
        <v>154</v>
      </c>
      <c r="B70" s="17" t="s">
        <v>87</v>
      </c>
      <c r="C70" s="37" t="s">
        <v>51</v>
      </c>
      <c r="D70" s="23" t="e">
        <f>Variables!#REF!</f>
        <v>#REF!</v>
      </c>
      <c r="E70" s="10">
        <v>78</v>
      </c>
      <c r="F70" s="41" t="e">
        <f>Variables!#REF!</f>
        <v>#REF!</v>
      </c>
      <c r="G70" s="42">
        <v>73.474740606633006</v>
      </c>
      <c r="H70" s="41" t="e">
        <f>Variables!#REF!</f>
        <v>#REF!</v>
      </c>
      <c r="I70" s="23" t="e">
        <f>Variables!#REF!</f>
        <v>#REF!</v>
      </c>
      <c r="J70" s="23" t="e">
        <f>Variables!#REF!</f>
        <v>#REF!</v>
      </c>
      <c r="K70" s="23" t="e">
        <f>Variables!#REF!</f>
        <v>#REF!</v>
      </c>
    </row>
    <row r="71" spans="1:11" ht="15.6" thickBot="1">
      <c r="A71" s="54" t="s">
        <v>155</v>
      </c>
      <c r="B71" s="9" t="s">
        <v>90</v>
      </c>
      <c r="C71" s="38" t="s">
        <v>51</v>
      </c>
      <c r="D71" s="23" t="e">
        <f>Variables!#REF!</f>
        <v>#REF!</v>
      </c>
      <c r="E71" s="10">
        <v>79</v>
      </c>
      <c r="F71" s="41" t="e">
        <f>Variables!#REF!</f>
        <v>#REF!</v>
      </c>
      <c r="G71" s="42">
        <v>65.883381188950395</v>
      </c>
      <c r="H71" s="41" t="e">
        <f>Variables!#REF!</f>
        <v>#REF!</v>
      </c>
      <c r="I71" s="23" t="e">
        <f>Variables!#REF!</f>
        <v>#REF!</v>
      </c>
      <c r="J71" s="23" t="e">
        <f>Variables!#REF!</f>
        <v>#REF!</v>
      </c>
      <c r="K71" s="23" t="e">
        <f>Variables!#REF!</f>
        <v>#REF!</v>
      </c>
    </row>
    <row r="72" spans="1:11" ht="15.6" thickBot="1">
      <c r="A72" s="53" t="s">
        <v>156</v>
      </c>
      <c r="B72" s="17" t="s">
        <v>156</v>
      </c>
      <c r="C72" s="37" t="s">
        <v>60</v>
      </c>
      <c r="D72" s="23" t="e">
        <f>Variables!#REF!</f>
        <v>#REF!</v>
      </c>
      <c r="E72" s="10"/>
      <c r="F72" s="41" t="e">
        <f>Variables!#REF!</f>
        <v>#REF!</v>
      </c>
      <c r="G72" s="42"/>
      <c r="H72" s="41" t="e">
        <f>Variables!#REF!</f>
        <v>#REF!</v>
      </c>
      <c r="I72" s="23" t="e">
        <f>Variables!#REF!</f>
        <v>#REF!</v>
      </c>
      <c r="J72" s="23" t="e">
        <f>Variables!#REF!</f>
        <v>#REF!</v>
      </c>
      <c r="K72" s="23" t="e">
        <f>Variables!#REF!</f>
        <v>#REF!</v>
      </c>
    </row>
    <row r="73" spans="1:11" ht="15.6" thickBot="1">
      <c r="A73" s="54" t="s">
        <v>157</v>
      </c>
      <c r="B73" s="9" t="s">
        <v>158</v>
      </c>
      <c r="C73" s="38" t="s">
        <v>54</v>
      </c>
      <c r="D73" s="23" t="e">
        <f>Variables!#REF!</f>
        <v>#REF!</v>
      </c>
      <c r="E73" s="10">
        <v>85</v>
      </c>
      <c r="F73" s="41" t="e">
        <f>Variables!#REF!</f>
        <v>#REF!</v>
      </c>
      <c r="G73" s="42">
        <v>71.765490923511251</v>
      </c>
      <c r="H73" s="41" t="e">
        <f>Variables!#REF!</f>
        <v>#REF!</v>
      </c>
      <c r="I73" s="23" t="e">
        <f>Variables!#REF!</f>
        <v>#REF!</v>
      </c>
      <c r="J73" s="23" t="e">
        <f>Variables!#REF!</f>
        <v>#REF!</v>
      </c>
      <c r="K73" s="23" t="e">
        <f>Variables!#REF!</f>
        <v>#REF!</v>
      </c>
    </row>
    <row r="74" spans="1:11" ht="15.6" thickBot="1">
      <c r="A74" s="53" t="s">
        <v>159</v>
      </c>
      <c r="B74" s="20" t="s">
        <v>92</v>
      </c>
      <c r="C74" s="37" t="s">
        <v>63</v>
      </c>
      <c r="D74" s="23" t="e">
        <f>Variables!#REF!</f>
        <v>#REF!</v>
      </c>
      <c r="E74" s="10">
        <v>94</v>
      </c>
      <c r="F74" s="41" t="e">
        <f>Variables!#REF!</f>
        <v>#REF!</v>
      </c>
      <c r="G74" s="42">
        <v>48.3581232357622</v>
      </c>
      <c r="H74" s="41" t="e">
        <f>Variables!#REF!</f>
        <v>#REF!</v>
      </c>
      <c r="I74" s="23" t="e">
        <f>Variables!#REF!</f>
        <v>#REF!</v>
      </c>
      <c r="J74" s="23" t="e">
        <f>Variables!#REF!</f>
        <v>#REF!</v>
      </c>
      <c r="K74" s="23" t="e">
        <f>Variables!#REF!</f>
        <v>#REF!</v>
      </c>
    </row>
    <row r="75" spans="1:11" ht="15.6" thickBot="1">
      <c r="A75" s="54" t="s">
        <v>160</v>
      </c>
      <c r="B75" s="9" t="s">
        <v>82</v>
      </c>
      <c r="C75" s="38" t="s">
        <v>57</v>
      </c>
      <c r="D75" s="23" t="e">
        <f>Variables!#REF!</f>
        <v>#REF!</v>
      </c>
      <c r="E75" s="10">
        <v>72</v>
      </c>
      <c r="F75" s="41" t="e">
        <f>Variables!#REF!</f>
        <v>#REF!</v>
      </c>
      <c r="G75" s="42">
        <v>73.671421899432403</v>
      </c>
      <c r="H75" s="41" t="e">
        <f>Variables!#REF!</f>
        <v>#REF!</v>
      </c>
      <c r="I75" s="23" t="e">
        <f>Variables!#REF!</f>
        <v>#REF!</v>
      </c>
      <c r="J75" s="23" t="e">
        <f>Variables!#REF!</f>
        <v>#REF!</v>
      </c>
      <c r="K75" s="23" t="e">
        <f>Variables!#REF!</f>
        <v>#REF!</v>
      </c>
    </row>
    <row r="76" spans="1:11" ht="15.6" thickBot="1">
      <c r="A76" s="53" t="s">
        <v>161</v>
      </c>
      <c r="B76" s="17" t="s">
        <v>53</v>
      </c>
      <c r="C76" s="37" t="s">
        <v>54</v>
      </c>
      <c r="D76" s="23" t="e">
        <f>Variables!#REF!</f>
        <v>#REF!</v>
      </c>
      <c r="E76" s="10">
        <v>79</v>
      </c>
      <c r="F76" s="41" t="e">
        <f>Variables!#REF!</f>
        <v>#REF!</v>
      </c>
      <c r="G76" s="42">
        <v>72.311254591257295</v>
      </c>
      <c r="H76" s="41" t="e">
        <f>Variables!#REF!</f>
        <v>#REF!</v>
      </c>
      <c r="I76" s="23" t="e">
        <f>Variables!#REF!</f>
        <v>#REF!</v>
      </c>
      <c r="J76" s="23" t="e">
        <f>Variables!#REF!</f>
        <v>#REF!</v>
      </c>
      <c r="K76" s="23" t="e">
        <f>Variables!#REF!</f>
        <v>#REF!</v>
      </c>
    </row>
    <row r="77" spans="1:11" ht="15.6" thickBot="1">
      <c r="A77" s="54" t="s">
        <v>162</v>
      </c>
      <c r="B77" s="9" t="s">
        <v>87</v>
      </c>
      <c r="C77" s="38" t="s">
        <v>51</v>
      </c>
      <c r="D77" s="23" t="e">
        <f>Variables!#REF!</f>
        <v>#REF!</v>
      </c>
      <c r="E77" s="10">
        <v>78</v>
      </c>
      <c r="F77" s="41" t="e">
        <f>Variables!#REF!</f>
        <v>#REF!</v>
      </c>
      <c r="G77" s="42">
        <v>80.491079061326602</v>
      </c>
      <c r="H77" s="41" t="e">
        <f>Variables!#REF!</f>
        <v>#REF!</v>
      </c>
      <c r="I77" s="23" t="e">
        <f>Variables!#REF!</f>
        <v>#REF!</v>
      </c>
      <c r="J77" s="23" t="e">
        <f>Variables!#REF!</f>
        <v>#REF!</v>
      </c>
      <c r="K77" s="23" t="e">
        <f>Variables!#REF!</f>
        <v>#REF!</v>
      </c>
    </row>
    <row r="78" spans="1:11" ht="15.6" thickBot="1">
      <c r="A78" s="53" t="s">
        <v>163</v>
      </c>
      <c r="B78" s="17" t="s">
        <v>136</v>
      </c>
      <c r="C78" s="37" t="s">
        <v>98</v>
      </c>
      <c r="D78" s="23" t="e">
        <f>Variables!#REF!</f>
        <v>#REF!</v>
      </c>
      <c r="E78" s="10">
        <v>86</v>
      </c>
      <c r="F78" s="41" t="e">
        <f>Variables!#REF!</f>
        <v>#REF!</v>
      </c>
      <c r="G78" s="42">
        <v>63.857889835197</v>
      </c>
      <c r="H78" s="41" t="e">
        <f>Variables!#REF!</f>
        <v>#REF!</v>
      </c>
      <c r="I78" s="23" t="e">
        <f>Variables!#REF!</f>
        <v>#REF!</v>
      </c>
      <c r="J78" s="23" t="e">
        <f>Variables!#REF!</f>
        <v>#REF!</v>
      </c>
      <c r="K78" s="23" t="e">
        <f>Variables!#REF!</f>
        <v>#REF!</v>
      </c>
    </row>
    <row r="79" spans="1:11" ht="15.6" thickBot="1">
      <c r="A79" s="54" t="s">
        <v>164</v>
      </c>
      <c r="B79" s="9" t="s">
        <v>158</v>
      </c>
      <c r="C79" s="38" t="s">
        <v>54</v>
      </c>
      <c r="D79" s="23" t="e">
        <f>Variables!#REF!</f>
        <v>#REF!</v>
      </c>
      <c r="E79" s="10">
        <v>85</v>
      </c>
      <c r="F79" s="41" t="e">
        <f>Variables!#REF!</f>
        <v>#REF!</v>
      </c>
      <c r="G79" s="42">
        <v>75.916505557521305</v>
      </c>
      <c r="H79" s="41" t="e">
        <f>Variables!#REF!</f>
        <v>#REF!</v>
      </c>
      <c r="I79" s="23" t="e">
        <f>Variables!#REF!</f>
        <v>#REF!</v>
      </c>
      <c r="J79" s="23" t="e">
        <f>Variables!#REF!</f>
        <v>#REF!</v>
      </c>
      <c r="K79" s="23" t="e">
        <f>Variables!#REF!</f>
        <v>#REF!</v>
      </c>
    </row>
    <row r="80" spans="1:11" ht="15.6" thickBot="1">
      <c r="A80" s="53" t="s">
        <v>165</v>
      </c>
      <c r="B80" s="17" t="s">
        <v>72</v>
      </c>
      <c r="C80" s="37" t="s">
        <v>73</v>
      </c>
      <c r="D80" s="23" t="e">
        <f>Variables!#REF!</f>
        <v>#REF!</v>
      </c>
      <c r="E80" s="10">
        <v>84</v>
      </c>
      <c r="F80" s="41" t="e">
        <f>Variables!#REF!</f>
        <v>#REF!</v>
      </c>
      <c r="G80" s="42">
        <v>76.898440072123094</v>
      </c>
      <c r="H80" s="41" t="e">
        <f>Variables!#REF!</f>
        <v>#REF!</v>
      </c>
      <c r="I80" s="23" t="e">
        <f>Variables!#REF!</f>
        <v>#REF!</v>
      </c>
      <c r="J80" s="23" t="e">
        <f>Variables!#REF!</f>
        <v>#REF!</v>
      </c>
      <c r="K80" s="23" t="e">
        <f>Variables!#REF!</f>
        <v>#REF!</v>
      </c>
    </row>
    <row r="81" spans="1:11" ht="15.6" thickBot="1">
      <c r="A81" s="54" t="s">
        <v>166</v>
      </c>
      <c r="B81" s="9" t="s">
        <v>120</v>
      </c>
      <c r="C81" s="38" t="s">
        <v>108</v>
      </c>
      <c r="D81" s="23" t="e">
        <f>Variables!#REF!</f>
        <v>#REF!</v>
      </c>
      <c r="E81" s="10">
        <v>84</v>
      </c>
      <c r="F81" s="41" t="e">
        <f>Variables!#REF!</f>
        <v>#REF!</v>
      </c>
      <c r="G81" s="42">
        <v>59.796973190285101</v>
      </c>
      <c r="H81" s="41" t="e">
        <f>Variables!#REF!</f>
        <v>#REF!</v>
      </c>
      <c r="I81" s="23" t="e">
        <f>Variables!#REF!</f>
        <v>#REF!</v>
      </c>
      <c r="J81" s="23" t="e">
        <f>Variables!#REF!</f>
        <v>#REF!</v>
      </c>
      <c r="K81" s="23" t="e">
        <f>Variables!#REF!</f>
        <v>#REF!</v>
      </c>
    </row>
    <row r="82" spans="1:11" ht="15.6" thickBot="1">
      <c r="A82" s="53" t="s">
        <v>167</v>
      </c>
      <c r="B82" s="17" t="s">
        <v>53</v>
      </c>
      <c r="C82" s="37" t="s">
        <v>54</v>
      </c>
      <c r="D82" s="23" t="e">
        <f>Variables!#REF!</f>
        <v>#REF!</v>
      </c>
      <c r="E82" s="10">
        <v>79</v>
      </c>
      <c r="F82" s="41" t="e">
        <f>Variables!#REF!</f>
        <v>#REF!</v>
      </c>
      <c r="G82" s="42">
        <v>70.763992477060398</v>
      </c>
      <c r="H82" s="41" t="e">
        <f>Variables!#REF!</f>
        <v>#REF!</v>
      </c>
      <c r="I82" s="23" t="e">
        <f>Variables!#REF!</f>
        <v>#REF!</v>
      </c>
      <c r="J82" s="23" t="e">
        <f>Variables!#REF!</f>
        <v>#REF!</v>
      </c>
      <c r="K82" s="23" t="e">
        <f>Variables!#REF!</f>
        <v>#REF!</v>
      </c>
    </row>
    <row r="83" spans="1:11" ht="15.6" thickBot="1">
      <c r="A83" s="54" t="s">
        <v>168</v>
      </c>
      <c r="B83" s="9" t="s">
        <v>169</v>
      </c>
      <c r="C83" s="38" t="s">
        <v>134</v>
      </c>
      <c r="D83" s="23" t="e">
        <f>Variables!#REF!</f>
        <v>#REF!</v>
      </c>
      <c r="E83" s="10">
        <v>72</v>
      </c>
      <c r="F83" s="41" t="e">
        <f>Variables!#REF!</f>
        <v>#REF!</v>
      </c>
      <c r="G83" s="42">
        <v>75.487368121443041</v>
      </c>
      <c r="H83" s="41" t="e">
        <f>Variables!#REF!</f>
        <v>#REF!</v>
      </c>
      <c r="I83" s="23" t="e">
        <f>Variables!#REF!</f>
        <v>#REF!</v>
      </c>
      <c r="J83" s="23" t="e">
        <f>Variables!#REF!</f>
        <v>#REF!</v>
      </c>
      <c r="K83" s="23" t="e">
        <f>Variables!#REF!</f>
        <v>#REF!</v>
      </c>
    </row>
    <row r="84" spans="1:11" ht="15.6" thickBot="1">
      <c r="A84" s="53" t="s">
        <v>170</v>
      </c>
      <c r="B84" s="17" t="s">
        <v>66</v>
      </c>
      <c r="C84" s="37" t="s">
        <v>63</v>
      </c>
      <c r="D84" s="23" t="e">
        <f>Variables!#REF!</f>
        <v>#REF!</v>
      </c>
      <c r="E84" s="10">
        <v>95</v>
      </c>
      <c r="F84" s="41" t="e">
        <f>Variables!#REF!</f>
        <v>#REF!</v>
      </c>
      <c r="G84" s="42">
        <v>66.003806176199205</v>
      </c>
      <c r="H84" s="41" t="e">
        <f>Variables!#REF!</f>
        <v>#REF!</v>
      </c>
      <c r="I84" s="23" t="e">
        <f>Variables!#REF!</f>
        <v>#REF!</v>
      </c>
      <c r="J84" s="23" t="e">
        <f>Variables!#REF!</f>
        <v>#REF!</v>
      </c>
      <c r="K84" s="23" t="e">
        <f>Variables!#REF!</f>
        <v>#REF!</v>
      </c>
    </row>
    <row r="85" spans="1:11" ht="15.6" thickBot="1">
      <c r="A85" s="54" t="s">
        <v>171</v>
      </c>
      <c r="B85" s="9" t="s">
        <v>66</v>
      </c>
      <c r="C85" s="38" t="s">
        <v>63</v>
      </c>
      <c r="D85" s="23" t="e">
        <f>Variables!#REF!</f>
        <v>#REF!</v>
      </c>
      <c r="E85" s="10">
        <v>95</v>
      </c>
      <c r="F85" s="41" t="e">
        <f>Variables!#REF!</f>
        <v>#REF!</v>
      </c>
      <c r="G85" s="42">
        <v>66.808312618509802</v>
      </c>
      <c r="H85" s="41" t="e">
        <f>Variables!#REF!</f>
        <v>#REF!</v>
      </c>
      <c r="I85" s="23" t="e">
        <f>Variables!#REF!</f>
        <v>#REF!</v>
      </c>
      <c r="J85" s="23" t="e">
        <f>Variables!#REF!</f>
        <v>#REF!</v>
      </c>
      <c r="K85" s="23" t="e">
        <f>Variables!#REF!</f>
        <v>#REF!</v>
      </c>
    </row>
    <row r="86" spans="1:11" ht="15.6" thickBot="1">
      <c r="A86" s="53" t="s">
        <v>172</v>
      </c>
      <c r="B86" s="17" t="s">
        <v>173</v>
      </c>
      <c r="C86" s="37" t="s">
        <v>134</v>
      </c>
      <c r="D86" s="23" t="e">
        <f>Variables!#REF!</f>
        <v>#REF!</v>
      </c>
      <c r="E86" s="10">
        <v>69</v>
      </c>
      <c r="F86" s="41" t="e">
        <f>Variables!#REF!</f>
        <v>#REF!</v>
      </c>
      <c r="G86" s="42">
        <v>88.210835877168108</v>
      </c>
      <c r="H86" s="41" t="e">
        <f>Variables!#REF!</f>
        <v>#REF!</v>
      </c>
      <c r="I86" s="23" t="e">
        <f>Variables!#REF!</f>
        <v>#REF!</v>
      </c>
      <c r="J86" s="23" t="e">
        <f>Variables!#REF!</f>
        <v>#REF!</v>
      </c>
      <c r="K86" s="23" t="e">
        <f>Variables!#REF!</f>
        <v>#REF!</v>
      </c>
    </row>
    <row r="87" spans="1:11" ht="15.6" thickBot="1">
      <c r="A87" s="54" t="s">
        <v>174</v>
      </c>
      <c r="B87" s="9" t="s">
        <v>68</v>
      </c>
      <c r="C87" s="38" t="s">
        <v>69</v>
      </c>
      <c r="D87" s="23" t="e">
        <f>Variables!#REF!</f>
        <v>#REF!</v>
      </c>
      <c r="E87" s="10">
        <v>71</v>
      </c>
      <c r="F87" s="41" t="e">
        <f>Variables!#REF!</f>
        <v>#REF!</v>
      </c>
      <c r="G87" s="42">
        <v>78.714836919650807</v>
      </c>
      <c r="H87" s="41" t="e">
        <f>Variables!#REF!</f>
        <v>#REF!</v>
      </c>
      <c r="I87" s="23" t="e">
        <f>Variables!#REF!</f>
        <v>#REF!</v>
      </c>
      <c r="J87" s="23" t="e">
        <f>Variables!#REF!</f>
        <v>#REF!</v>
      </c>
      <c r="K87" s="23" t="e">
        <f>Variables!#REF!</f>
        <v>#REF!</v>
      </c>
    </row>
    <row r="88" spans="1:11" ht="15.6" thickBot="1">
      <c r="A88" s="53" t="s">
        <v>175</v>
      </c>
      <c r="B88" s="17" t="s">
        <v>176</v>
      </c>
      <c r="C88" s="37" t="s">
        <v>57</v>
      </c>
      <c r="D88" s="23" t="e">
        <f>Variables!#REF!</f>
        <v>#REF!</v>
      </c>
      <c r="E88" s="10">
        <v>77</v>
      </c>
      <c r="F88" s="41" t="e">
        <f>Variables!#REF!</f>
        <v>#REF!</v>
      </c>
      <c r="G88" s="42">
        <v>59.931062835250849</v>
      </c>
      <c r="H88" s="41" t="e">
        <f>Variables!#REF!</f>
        <v>#REF!</v>
      </c>
      <c r="I88" s="23" t="e">
        <f>Variables!#REF!</f>
        <v>#REF!</v>
      </c>
      <c r="J88" s="23" t="e">
        <f>Variables!#REF!</f>
        <v>#REF!</v>
      </c>
      <c r="K88" s="23" t="e">
        <f>Variables!#REF!</f>
        <v>#REF!</v>
      </c>
    </row>
    <row r="89" spans="1:11" ht="15.6" thickBot="1">
      <c r="A89" s="54" t="s">
        <v>177</v>
      </c>
      <c r="B89" s="9" t="s">
        <v>176</v>
      </c>
      <c r="C89" s="38" t="s">
        <v>57</v>
      </c>
      <c r="D89" s="23" t="e">
        <f>Variables!#REF!</f>
        <v>#REF!</v>
      </c>
      <c r="E89" s="10">
        <v>77</v>
      </c>
      <c r="F89" s="41" t="e">
        <f>Variables!#REF!</f>
        <v>#REF!</v>
      </c>
      <c r="G89" s="42">
        <v>72.740302932593593</v>
      </c>
      <c r="H89" s="41" t="e">
        <f>Variables!#REF!</f>
        <v>#REF!</v>
      </c>
      <c r="I89" s="23" t="e">
        <f>Variables!#REF!</f>
        <v>#REF!</v>
      </c>
      <c r="J89" s="23" t="e">
        <f>Variables!#REF!</f>
        <v>#REF!</v>
      </c>
      <c r="K89" s="23" t="e">
        <f>Variables!#REF!</f>
        <v>#REF!</v>
      </c>
    </row>
    <row r="90" spans="1:11" ht="15.6" thickBot="1">
      <c r="A90" s="53" t="s">
        <v>178</v>
      </c>
      <c r="B90" s="17" t="s">
        <v>179</v>
      </c>
      <c r="C90" s="37" t="s">
        <v>108</v>
      </c>
      <c r="D90" s="23" t="e">
        <f>Variables!#REF!</f>
        <v>#REF!</v>
      </c>
      <c r="E90" s="10">
        <v>80</v>
      </c>
      <c r="F90" s="41" t="e">
        <f>Variables!#REF!</f>
        <v>#REF!</v>
      </c>
      <c r="G90" s="42">
        <v>89.299683632829797</v>
      </c>
      <c r="H90" s="41" t="e">
        <f>Variables!#REF!</f>
        <v>#REF!</v>
      </c>
      <c r="I90" s="23" t="e">
        <f>Variables!#REF!</f>
        <v>#REF!</v>
      </c>
      <c r="J90" s="23" t="e">
        <f>Variables!#REF!</f>
        <v>#REF!</v>
      </c>
      <c r="K90" s="23" t="e">
        <f>Variables!#REF!</f>
        <v>#REF!</v>
      </c>
    </row>
    <row r="91" spans="1:11" ht="15.6" thickBot="1">
      <c r="A91" s="54" t="s">
        <v>180</v>
      </c>
      <c r="B91" s="9" t="s">
        <v>179</v>
      </c>
      <c r="C91" s="38" t="s">
        <v>108</v>
      </c>
      <c r="D91" s="23" t="e">
        <f>Variables!#REF!</f>
        <v>#REF!</v>
      </c>
      <c r="E91" s="10">
        <v>80</v>
      </c>
      <c r="F91" s="41" t="e">
        <f>Variables!#REF!</f>
        <v>#REF!</v>
      </c>
      <c r="G91" s="42">
        <v>83.3039919216817</v>
      </c>
      <c r="H91" s="41" t="e">
        <f>Variables!#REF!</f>
        <v>#REF!</v>
      </c>
      <c r="I91" s="23" t="e">
        <f>Variables!#REF!</f>
        <v>#REF!</v>
      </c>
      <c r="J91" s="23" t="e">
        <f>Variables!#REF!</f>
        <v>#REF!</v>
      </c>
      <c r="K91" s="23" t="e">
        <f>Variables!#REF!</f>
        <v>#REF!</v>
      </c>
    </row>
    <row r="92" spans="1:11" ht="15.6" thickBot="1">
      <c r="A92" s="53" t="s">
        <v>181</v>
      </c>
      <c r="B92" s="17" t="s">
        <v>120</v>
      </c>
      <c r="C92" s="37" t="s">
        <v>108</v>
      </c>
      <c r="D92" s="23" t="e">
        <f>Variables!#REF!</f>
        <v>#REF!</v>
      </c>
      <c r="E92" s="10">
        <v>84</v>
      </c>
      <c r="F92" s="41" t="e">
        <f>Variables!#REF!</f>
        <v>#REF!</v>
      </c>
      <c r="G92" s="42">
        <v>85.345445658546495</v>
      </c>
      <c r="H92" s="41" t="e">
        <f>Variables!#REF!</f>
        <v>#REF!</v>
      </c>
      <c r="I92" s="23" t="e">
        <f>Variables!#REF!</f>
        <v>#REF!</v>
      </c>
      <c r="J92" s="23" t="e">
        <f>Variables!#REF!</f>
        <v>#REF!</v>
      </c>
      <c r="K92" s="23" t="e">
        <f>Variables!#REF!</f>
        <v>#REF!</v>
      </c>
    </row>
    <row r="93" spans="1:11" ht="15.6" thickBot="1">
      <c r="A93" s="54" t="s">
        <v>182</v>
      </c>
      <c r="B93" s="9" t="s">
        <v>120</v>
      </c>
      <c r="C93" s="38" t="s">
        <v>108</v>
      </c>
      <c r="D93" s="23" t="e">
        <f>Variables!#REF!</f>
        <v>#REF!</v>
      </c>
      <c r="E93" s="10">
        <v>84</v>
      </c>
      <c r="F93" s="41" t="e">
        <f>Variables!#REF!</f>
        <v>#REF!</v>
      </c>
      <c r="G93" s="42">
        <v>80.542253630151293</v>
      </c>
      <c r="H93" s="41" t="e">
        <f>Variables!#REF!</f>
        <v>#REF!</v>
      </c>
      <c r="I93" s="23" t="e">
        <f>Variables!#REF!</f>
        <v>#REF!</v>
      </c>
      <c r="J93" s="23" t="e">
        <f>Variables!#REF!</f>
        <v>#REF!</v>
      </c>
      <c r="K93" s="23" t="e">
        <f>Variables!#REF!</f>
        <v>#REF!</v>
      </c>
    </row>
    <row r="94" spans="1:11" ht="15.6" thickBot="1">
      <c r="A94" s="53" t="s">
        <v>183</v>
      </c>
      <c r="B94" s="17" t="s">
        <v>158</v>
      </c>
      <c r="C94" s="37" t="s">
        <v>54</v>
      </c>
      <c r="D94" s="23" t="e">
        <f>Variables!#REF!</f>
        <v>#REF!</v>
      </c>
      <c r="E94" s="10">
        <v>85</v>
      </c>
      <c r="F94" s="41" t="e">
        <f>Variables!#REF!</f>
        <v>#REF!</v>
      </c>
      <c r="G94" s="42">
        <v>15.9566658346802</v>
      </c>
      <c r="H94" s="41" t="e">
        <f>Variables!#REF!</f>
        <v>#REF!</v>
      </c>
      <c r="I94" s="23" t="e">
        <f>Variables!#REF!</f>
        <v>#REF!</v>
      </c>
      <c r="J94" s="23" t="e">
        <f>Variables!#REF!</f>
        <v>#REF!</v>
      </c>
      <c r="K94" s="23" t="e">
        <f>Variables!#REF!</f>
        <v>#REF!</v>
      </c>
    </row>
    <row r="95" spans="1:11" ht="15.6" thickBot="1">
      <c r="A95" s="54" t="s">
        <v>184</v>
      </c>
      <c r="B95" s="9" t="s">
        <v>153</v>
      </c>
      <c r="C95" s="38" t="s">
        <v>134</v>
      </c>
      <c r="D95" s="23" t="e">
        <f>Variables!#REF!</f>
        <v>#REF!</v>
      </c>
      <c r="E95" s="10">
        <v>71</v>
      </c>
      <c r="F95" s="41" t="e">
        <f>Variables!#REF!</f>
        <v>#REF!</v>
      </c>
      <c r="G95" s="42">
        <v>65.472032728924106</v>
      </c>
      <c r="H95" s="41" t="e">
        <f>Variables!#REF!</f>
        <v>#REF!</v>
      </c>
      <c r="I95" s="23" t="e">
        <f>Variables!#REF!</f>
        <v>#REF!</v>
      </c>
      <c r="J95" s="23" t="e">
        <f>Variables!#REF!</f>
        <v>#REF!</v>
      </c>
      <c r="K95" s="23" t="e">
        <f>Variables!#REF!</f>
        <v>#REF!</v>
      </c>
    </row>
    <row r="96" spans="1:11" ht="15.6" thickBot="1">
      <c r="A96" s="53" t="s">
        <v>185</v>
      </c>
      <c r="B96" s="17" t="s">
        <v>153</v>
      </c>
      <c r="C96" s="37" t="s">
        <v>134</v>
      </c>
      <c r="D96" s="23" t="e">
        <f>Variables!#REF!</f>
        <v>#REF!</v>
      </c>
      <c r="E96" s="10">
        <v>71</v>
      </c>
      <c r="F96" s="41" t="e">
        <f>Variables!#REF!</f>
        <v>#REF!</v>
      </c>
      <c r="G96" s="42">
        <v>63.574188309981601</v>
      </c>
      <c r="H96" s="41" t="e">
        <f>Variables!#REF!</f>
        <v>#REF!</v>
      </c>
      <c r="I96" s="23" t="e">
        <f>Variables!#REF!</f>
        <v>#REF!</v>
      </c>
      <c r="J96" s="23" t="e">
        <f>Variables!#REF!</f>
        <v>#REF!</v>
      </c>
      <c r="K96" s="23" t="e">
        <f>Variables!#REF!</f>
        <v>#REF!</v>
      </c>
    </row>
    <row r="97" spans="1:11" ht="15.6" thickBot="1">
      <c r="A97" s="54" t="s">
        <v>186</v>
      </c>
      <c r="B97" s="9" t="s">
        <v>131</v>
      </c>
      <c r="C97" s="38" t="s">
        <v>60</v>
      </c>
      <c r="D97" s="23" t="e">
        <f>Variables!#REF!</f>
        <v>#REF!</v>
      </c>
      <c r="E97" s="10">
        <v>91</v>
      </c>
      <c r="F97" s="41" t="e">
        <f>Variables!#REF!</f>
        <v>#REF!</v>
      </c>
      <c r="G97" s="42">
        <v>63.365720667447945</v>
      </c>
      <c r="H97" s="41" t="e">
        <f>Variables!#REF!</f>
        <v>#REF!</v>
      </c>
      <c r="I97" s="23" t="e">
        <f>Variables!#REF!</f>
        <v>#REF!</v>
      </c>
      <c r="J97" s="23" t="e">
        <f>Variables!#REF!</f>
        <v>#REF!</v>
      </c>
      <c r="K97" s="23" t="e">
        <f>Variables!#REF!</f>
        <v>#REF!</v>
      </c>
    </row>
    <row r="98" spans="1:11" ht="15.6" thickBot="1">
      <c r="A98" s="53" t="s">
        <v>187</v>
      </c>
      <c r="B98" s="17" t="s">
        <v>95</v>
      </c>
      <c r="C98" s="37" t="s">
        <v>60</v>
      </c>
      <c r="D98" s="23" t="e">
        <f>Variables!#REF!</f>
        <v>#REF!</v>
      </c>
      <c r="E98" s="10">
        <v>92</v>
      </c>
      <c r="F98" s="41" t="e">
        <f>Variables!#REF!</f>
        <v>#REF!</v>
      </c>
      <c r="G98" s="42">
        <v>81.608768571573592</v>
      </c>
      <c r="H98" s="41" t="e">
        <f>Variables!#REF!</f>
        <v>#REF!</v>
      </c>
      <c r="I98" s="23" t="e">
        <f>Variables!#REF!</f>
        <v>#REF!</v>
      </c>
      <c r="J98" s="23" t="e">
        <f>Variables!#REF!</f>
        <v>#REF!</v>
      </c>
      <c r="K98" s="23" t="e">
        <f>Variables!#REF!</f>
        <v>#REF!</v>
      </c>
    </row>
    <row r="99" spans="1:11" ht="15.6" thickBot="1">
      <c r="A99" s="54" t="s">
        <v>188</v>
      </c>
      <c r="B99" s="9" t="s">
        <v>131</v>
      </c>
      <c r="C99" s="38" t="s">
        <v>60</v>
      </c>
      <c r="D99" s="23" t="e">
        <f>Variables!#REF!</f>
        <v>#REF!</v>
      </c>
      <c r="E99" s="10">
        <v>91</v>
      </c>
      <c r="F99" s="41" t="e">
        <f>Variables!#REF!</f>
        <v>#REF!</v>
      </c>
      <c r="G99" s="42">
        <v>46.394896567334499</v>
      </c>
      <c r="H99" s="41" t="e">
        <f>Variables!#REF!</f>
        <v>#REF!</v>
      </c>
      <c r="I99" s="23" t="e">
        <f>Variables!#REF!</f>
        <v>#REF!</v>
      </c>
      <c r="J99" s="23" t="e">
        <f>Variables!#REF!</f>
        <v>#REF!</v>
      </c>
      <c r="K99" s="23" t="e">
        <f>Variables!#REF!</f>
        <v>#REF!</v>
      </c>
    </row>
    <row r="100" spans="1:11" ht="15.6" thickBot="1">
      <c r="A100" s="53" t="s">
        <v>189</v>
      </c>
      <c r="B100" s="17" t="s">
        <v>131</v>
      </c>
      <c r="C100" s="37" t="s">
        <v>60</v>
      </c>
      <c r="D100" s="23" t="e">
        <f>Variables!#REF!</f>
        <v>#REF!</v>
      </c>
      <c r="E100" s="10">
        <v>91</v>
      </c>
      <c r="F100" s="41" t="e">
        <f>Variables!#REF!</f>
        <v>#REF!</v>
      </c>
      <c r="G100" s="42">
        <v>72.931646933311299</v>
      </c>
      <c r="H100" s="41" t="e">
        <f>Variables!#REF!</f>
        <v>#REF!</v>
      </c>
      <c r="I100" s="23" t="e">
        <f>Variables!#REF!</f>
        <v>#REF!</v>
      </c>
      <c r="J100" s="23" t="e">
        <f>Variables!#REF!</f>
        <v>#REF!</v>
      </c>
      <c r="K100" s="23" t="e">
        <f>Variables!#REF!</f>
        <v>#REF!</v>
      </c>
    </row>
    <row r="101" spans="1:11" ht="15.6" thickBot="1">
      <c r="A101" s="54" t="s">
        <v>190</v>
      </c>
      <c r="B101" s="9" t="s">
        <v>131</v>
      </c>
      <c r="C101" s="38" t="s">
        <v>60</v>
      </c>
      <c r="D101" s="23" t="e">
        <f>Variables!#REF!</f>
        <v>#REF!</v>
      </c>
      <c r="E101" s="10">
        <v>91</v>
      </c>
      <c r="F101" s="41" t="e">
        <f>Variables!#REF!</f>
        <v>#REF!</v>
      </c>
      <c r="G101" s="42">
        <v>55.309618422172903</v>
      </c>
      <c r="H101" s="41" t="e">
        <f>Variables!#REF!</f>
        <v>#REF!</v>
      </c>
      <c r="I101" s="23" t="e">
        <f>Variables!#REF!</f>
        <v>#REF!</v>
      </c>
      <c r="J101" s="23" t="e">
        <f>Variables!#REF!</f>
        <v>#REF!</v>
      </c>
      <c r="K101" s="23" t="e">
        <f>Variables!#REF!</f>
        <v>#REF!</v>
      </c>
    </row>
    <row r="102" spans="1:11" ht="15.6" thickBot="1">
      <c r="A102" s="53" t="s">
        <v>191</v>
      </c>
      <c r="B102" s="17" t="s">
        <v>120</v>
      </c>
      <c r="C102" s="37" t="s">
        <v>108</v>
      </c>
      <c r="D102" s="23" t="e">
        <f>Variables!#REF!</f>
        <v>#REF!</v>
      </c>
      <c r="E102" s="10">
        <v>84</v>
      </c>
      <c r="F102" s="41" t="e">
        <f>Variables!#REF!</f>
        <v>#REF!</v>
      </c>
      <c r="G102" s="42">
        <v>81.5685604549667</v>
      </c>
      <c r="H102" s="41" t="e">
        <f>Variables!#REF!</f>
        <v>#REF!</v>
      </c>
      <c r="I102" s="23" t="e">
        <f>Variables!#REF!</f>
        <v>#REF!</v>
      </c>
      <c r="J102" s="23" t="e">
        <f>Variables!#REF!</f>
        <v>#REF!</v>
      </c>
      <c r="K102" s="23" t="e">
        <f>Variables!#REF!</f>
        <v>#REF!</v>
      </c>
    </row>
    <row r="103" spans="1:11" ht="15.6" thickBot="1">
      <c r="A103" s="54" t="s">
        <v>192</v>
      </c>
      <c r="B103" s="9" t="s">
        <v>179</v>
      </c>
      <c r="C103" s="38" t="s">
        <v>108</v>
      </c>
      <c r="D103" s="23" t="e">
        <f>Variables!#REF!</f>
        <v>#REF!</v>
      </c>
      <c r="E103" s="10">
        <v>80</v>
      </c>
      <c r="F103" s="41" t="e">
        <f>Variables!#REF!</f>
        <v>#REF!</v>
      </c>
      <c r="G103" s="42">
        <v>79.930700225707994</v>
      </c>
      <c r="H103" s="41" t="e">
        <f>Variables!#REF!</f>
        <v>#REF!</v>
      </c>
      <c r="I103" s="23" t="e">
        <f>Variables!#REF!</f>
        <v>#REF!</v>
      </c>
      <c r="J103" s="23" t="e">
        <f>Variables!#REF!</f>
        <v>#REF!</v>
      </c>
      <c r="K103" s="23" t="e">
        <f>Variables!#REF!</f>
        <v>#REF!</v>
      </c>
    </row>
    <row r="104" spans="1:11" ht="15.6" thickBot="1">
      <c r="A104" s="53" t="s">
        <v>193</v>
      </c>
      <c r="B104" s="17" t="s">
        <v>53</v>
      </c>
      <c r="C104" s="37" t="s">
        <v>54</v>
      </c>
      <c r="D104" s="23" t="e">
        <f>Variables!#REF!</f>
        <v>#REF!</v>
      </c>
      <c r="E104" s="10">
        <v>79</v>
      </c>
      <c r="F104" s="41" t="e">
        <f>Variables!#REF!</f>
        <v>#REF!</v>
      </c>
      <c r="G104" s="42">
        <v>86.754779920939399</v>
      </c>
      <c r="H104" s="41" t="e">
        <f>Variables!#REF!</f>
        <v>#REF!</v>
      </c>
      <c r="I104" s="23" t="e">
        <f>Variables!#REF!</f>
        <v>#REF!</v>
      </c>
      <c r="J104" s="23" t="e">
        <f>Variables!#REF!</f>
        <v>#REF!</v>
      </c>
      <c r="K104" s="23" t="e">
        <f>Variables!#REF!</f>
        <v>#REF!</v>
      </c>
    </row>
    <row r="105" spans="1:11" ht="15.6" thickBot="1">
      <c r="A105" s="54" t="s">
        <v>194</v>
      </c>
      <c r="B105" s="9" t="s">
        <v>97</v>
      </c>
      <c r="C105" s="38" t="s">
        <v>98</v>
      </c>
      <c r="D105" s="23" t="e">
        <f>Variables!#REF!</f>
        <v>#REF!</v>
      </c>
      <c r="E105" s="10">
        <v>100</v>
      </c>
      <c r="F105" s="41" t="e">
        <f>Variables!#REF!</f>
        <v>#REF!</v>
      </c>
      <c r="G105" s="42">
        <v>62.615651813445503</v>
      </c>
      <c r="H105" s="41" t="e">
        <f>Variables!#REF!</f>
        <v>#REF!</v>
      </c>
      <c r="I105" s="23" t="e">
        <f>Variables!#REF!</f>
        <v>#REF!</v>
      </c>
      <c r="J105" s="23" t="e">
        <f>Variables!#REF!</f>
        <v>#REF!</v>
      </c>
      <c r="K105" s="23" t="e">
        <f>Variables!#REF!</f>
        <v>#REF!</v>
      </c>
    </row>
    <row r="106" spans="1:11" ht="15.6" thickBot="1">
      <c r="A106" s="53" t="s">
        <v>195</v>
      </c>
      <c r="B106" s="17" t="s">
        <v>72</v>
      </c>
      <c r="C106" s="37" t="s">
        <v>73</v>
      </c>
      <c r="D106" s="23" t="e">
        <f>Variables!#REF!</f>
        <v>#REF!</v>
      </c>
      <c r="E106" s="10">
        <v>84</v>
      </c>
      <c r="F106" s="41" t="e">
        <f>Variables!#REF!</f>
        <v>#REF!</v>
      </c>
      <c r="G106" s="42">
        <v>58.251568550279856</v>
      </c>
      <c r="H106" s="41" t="e">
        <f>Variables!#REF!</f>
        <v>#REF!</v>
      </c>
      <c r="I106" s="23" t="e">
        <f>Variables!#REF!</f>
        <v>#REF!</v>
      </c>
      <c r="J106" s="23" t="e">
        <f>Variables!#REF!</f>
        <v>#REF!</v>
      </c>
      <c r="K106" s="23" t="e">
        <f>Variables!#REF!</f>
        <v>#REF!</v>
      </c>
    </row>
    <row r="107" spans="1:11" ht="15.6" thickBot="1">
      <c r="A107" s="54" t="s">
        <v>196</v>
      </c>
      <c r="B107" s="9" t="s">
        <v>158</v>
      </c>
      <c r="C107" s="38" t="s">
        <v>54</v>
      </c>
      <c r="D107" s="23" t="e">
        <f>Variables!#REF!</f>
        <v>#REF!</v>
      </c>
      <c r="E107" s="10">
        <v>85</v>
      </c>
      <c r="F107" s="41" t="e">
        <f>Variables!#REF!</f>
        <v>#REF!</v>
      </c>
      <c r="G107" s="42">
        <v>94.109337106571203</v>
      </c>
      <c r="H107" s="41" t="e">
        <f>Variables!#REF!</f>
        <v>#REF!</v>
      </c>
      <c r="I107" s="23" t="e">
        <f>Variables!#REF!</f>
        <v>#REF!</v>
      </c>
      <c r="J107" s="23" t="e">
        <f>Variables!#REF!</f>
        <v>#REF!</v>
      </c>
      <c r="K107" s="23" t="e">
        <f>Variables!#REF!</f>
        <v>#REF!</v>
      </c>
    </row>
    <row r="108" spans="1:11" ht="15.6" thickBot="1">
      <c r="A108" s="53" t="s">
        <v>197</v>
      </c>
      <c r="B108" s="17" t="s">
        <v>107</v>
      </c>
      <c r="C108" s="37" t="s">
        <v>108</v>
      </c>
      <c r="D108" s="23" t="e">
        <f>Variables!#REF!</f>
        <v>#REF!</v>
      </c>
      <c r="E108" s="10">
        <v>83</v>
      </c>
      <c r="F108" s="41" t="e">
        <f>Variables!#REF!</f>
        <v>#REF!</v>
      </c>
      <c r="G108" s="42">
        <v>84.383740435024507</v>
      </c>
      <c r="H108" s="41" t="e">
        <f>Variables!#REF!</f>
        <v>#REF!</v>
      </c>
      <c r="I108" s="23" t="e">
        <f>Variables!#REF!</f>
        <v>#REF!</v>
      </c>
      <c r="J108" s="23" t="e">
        <f>Variables!#REF!</f>
        <v>#REF!</v>
      </c>
      <c r="K108" s="23" t="e">
        <f>Variables!#REF!</f>
        <v>#REF!</v>
      </c>
    </row>
    <row r="109" spans="1:11" ht="15.6" thickBot="1">
      <c r="A109" s="54" t="s">
        <v>198</v>
      </c>
      <c r="B109" s="9" t="s">
        <v>169</v>
      </c>
      <c r="C109" s="38" t="s">
        <v>134</v>
      </c>
      <c r="D109" s="23" t="e">
        <f>Variables!#REF!</f>
        <v>#REF!</v>
      </c>
      <c r="E109" s="10">
        <v>72</v>
      </c>
      <c r="F109" s="41" t="e">
        <f>Variables!#REF!</f>
        <v>#REF!</v>
      </c>
      <c r="G109" s="42">
        <v>80.1266046947907</v>
      </c>
      <c r="H109" s="41" t="e">
        <f>Variables!#REF!</f>
        <v>#REF!</v>
      </c>
      <c r="I109" s="23" t="e">
        <f>Variables!#REF!</f>
        <v>#REF!</v>
      </c>
      <c r="J109" s="23" t="e">
        <f>Variables!#REF!</f>
        <v>#REF!</v>
      </c>
      <c r="K109" s="23" t="e">
        <f>Variables!#REF!</f>
        <v>#REF!</v>
      </c>
    </row>
    <row r="110" spans="1:11" ht="15.6" thickBot="1">
      <c r="A110" s="53" t="s">
        <v>199</v>
      </c>
      <c r="B110" s="17" t="s">
        <v>173</v>
      </c>
      <c r="C110" s="37" t="s">
        <v>134</v>
      </c>
      <c r="D110" s="23" t="e">
        <f>Variables!#REF!</f>
        <v>#REF!</v>
      </c>
      <c r="E110" s="10">
        <v>69</v>
      </c>
      <c r="F110" s="41" t="e">
        <f>Variables!#REF!</f>
        <v>#REF!</v>
      </c>
      <c r="G110" s="42">
        <v>78.782645879820194</v>
      </c>
      <c r="H110" s="41" t="e">
        <f>Variables!#REF!</f>
        <v>#REF!</v>
      </c>
      <c r="I110" s="23" t="e">
        <f>Variables!#REF!</f>
        <v>#REF!</v>
      </c>
      <c r="J110" s="23" t="e">
        <f>Variables!#REF!</f>
        <v>#REF!</v>
      </c>
      <c r="K110" s="23" t="e">
        <f>Variables!#REF!</f>
        <v>#REF!</v>
      </c>
    </row>
    <row r="111" spans="1:11" ht="15.6" thickBot="1">
      <c r="A111" s="54" t="s">
        <v>200</v>
      </c>
      <c r="B111" s="9" t="s">
        <v>133</v>
      </c>
      <c r="C111" s="38" t="s">
        <v>134</v>
      </c>
      <c r="D111" s="23" t="e">
        <f>Variables!#REF!</f>
        <v>#REF!</v>
      </c>
      <c r="E111" s="10">
        <v>71</v>
      </c>
      <c r="F111" s="41" t="e">
        <f>Variables!#REF!</f>
        <v>#REF!</v>
      </c>
      <c r="G111" s="42">
        <v>61.779664164986656</v>
      </c>
      <c r="H111" s="41" t="e">
        <f>Variables!#REF!</f>
        <v>#REF!</v>
      </c>
      <c r="I111" s="23" t="e">
        <f>Variables!#REF!</f>
        <v>#REF!</v>
      </c>
      <c r="J111" s="23" t="e">
        <f>Variables!#REF!</f>
        <v>#REF!</v>
      </c>
      <c r="K111" s="23" t="e">
        <f>Variables!#REF!</f>
        <v>#REF!</v>
      </c>
    </row>
    <row r="112" spans="1:11" ht="15.6" thickBot="1">
      <c r="A112" s="53" t="s">
        <v>201</v>
      </c>
      <c r="B112" s="17" t="s">
        <v>107</v>
      </c>
      <c r="C112" s="37" t="s">
        <v>108</v>
      </c>
      <c r="D112" s="23" t="e">
        <f>Variables!#REF!</f>
        <v>#REF!</v>
      </c>
      <c r="E112" s="10">
        <v>83</v>
      </c>
      <c r="F112" s="41" t="e">
        <f>Variables!#REF!</f>
        <v>#REF!</v>
      </c>
      <c r="G112" s="40">
        <v>45.973273543091999</v>
      </c>
      <c r="H112" s="41" t="e">
        <f>Variables!#REF!</f>
        <v>#REF!</v>
      </c>
      <c r="I112" s="23" t="e">
        <f>Variables!#REF!</f>
        <v>#REF!</v>
      </c>
      <c r="J112" s="23" t="e">
        <f>Variables!#REF!</f>
        <v>#REF!</v>
      </c>
      <c r="K112" s="23" t="e">
        <f>Variables!#REF!</f>
        <v>#REF!</v>
      </c>
    </row>
    <row r="113" spans="1:11" ht="15.6" thickBot="1">
      <c r="A113" s="54" t="s">
        <v>202</v>
      </c>
      <c r="B113" s="9" t="s">
        <v>87</v>
      </c>
      <c r="C113" s="38" t="s">
        <v>51</v>
      </c>
      <c r="D113" s="23" t="e">
        <f>Variables!#REF!</f>
        <v>#REF!</v>
      </c>
      <c r="E113" s="10">
        <v>78</v>
      </c>
      <c r="F113" s="41" t="e">
        <f>Variables!#REF!</f>
        <v>#REF!</v>
      </c>
      <c r="G113" s="40">
        <v>78.699259744154205</v>
      </c>
      <c r="H113" s="41" t="e">
        <f>Variables!#REF!</f>
        <v>#REF!</v>
      </c>
      <c r="I113" s="23" t="e">
        <f>Variables!#REF!</f>
        <v>#REF!</v>
      </c>
      <c r="J113" s="23" t="e">
        <f>Variables!#REF!</f>
        <v>#REF!</v>
      </c>
      <c r="K113" s="23" t="e">
        <f>Variables!#REF!</f>
        <v>#REF!</v>
      </c>
    </row>
    <row r="114" spans="1:11" ht="14.45" thickBot="1">
      <c r="D114" s="13"/>
      <c r="E114" s="13"/>
      <c r="F114" s="13"/>
      <c r="G114" s="13"/>
      <c r="H114" s="13"/>
      <c r="I114" s="13"/>
      <c r="J114" s="13"/>
      <c r="K114" s="13"/>
    </row>
    <row r="115" spans="1:11" ht="14.45" thickBot="1">
      <c r="D115" s="2">
        <v>45.140680620618632</v>
      </c>
      <c r="E115" s="2">
        <v>82.545454545454547</v>
      </c>
      <c r="F115" s="2">
        <v>75.970000000000027</v>
      </c>
      <c r="G115" s="40">
        <v>67.059073229943309</v>
      </c>
      <c r="H115" s="40">
        <v>37.794899938046527</v>
      </c>
      <c r="I115" s="40">
        <v>33.564171919977248</v>
      </c>
      <c r="J115" s="40">
        <v>65.022727272727266</v>
      </c>
      <c r="K115" s="40">
        <v>54.216777479692801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16C4-6595-4503-B016-92AC3D4B4367}">
  <dimension ref="A1:G35"/>
  <sheetViews>
    <sheetView workbookViewId="0">
      <selection activeCell="J2" sqref="J2"/>
    </sheetView>
  </sheetViews>
  <sheetFormatPr defaultRowHeight="13.9"/>
  <cols>
    <col min="1" max="1" width="20.85546875" customWidth="1"/>
    <col min="2" max="2" width="13.5703125" customWidth="1"/>
    <col min="3" max="3" width="17.85546875" customWidth="1"/>
    <col min="7" max="7" width="23.7109375" customWidth="1"/>
  </cols>
  <sheetData>
    <row r="1" spans="1:7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7">
      <c r="A2" t="s">
        <v>53</v>
      </c>
      <c r="B2" t="s">
        <v>240</v>
      </c>
      <c r="C2" s="39">
        <v>0.68899999999999995</v>
      </c>
      <c r="D2">
        <v>0.8</v>
      </c>
      <c r="E2">
        <v>67</v>
      </c>
      <c r="F2">
        <v>78</v>
      </c>
      <c r="G2" s="2">
        <v>55.265000000000001</v>
      </c>
    </row>
    <row r="3" spans="1:7">
      <c r="A3" t="s">
        <v>84</v>
      </c>
      <c r="B3" t="s">
        <v>241</v>
      </c>
      <c r="C3" s="39">
        <v>2.6</v>
      </c>
      <c r="D3">
        <v>0.1</v>
      </c>
      <c r="E3">
        <v>58</v>
      </c>
      <c r="F3">
        <v>48</v>
      </c>
      <c r="G3" s="2">
        <v>3.68</v>
      </c>
    </row>
    <row r="4" spans="1:7">
      <c r="A4" t="s">
        <v>72</v>
      </c>
      <c r="B4" t="s">
        <v>241</v>
      </c>
      <c r="C4" s="39">
        <v>2.6</v>
      </c>
      <c r="D4">
        <v>0.1</v>
      </c>
      <c r="E4">
        <v>61</v>
      </c>
      <c r="F4">
        <v>57</v>
      </c>
      <c r="G4" s="2">
        <v>4.5960000000000001</v>
      </c>
    </row>
    <row r="5" spans="1:7">
      <c r="A5" t="s">
        <v>59</v>
      </c>
      <c r="B5" t="s">
        <v>242</v>
      </c>
      <c r="C5" s="39">
        <v>2.2909999999999999</v>
      </c>
      <c r="D5">
        <v>0.2</v>
      </c>
      <c r="E5">
        <v>96</v>
      </c>
      <c r="F5">
        <v>79</v>
      </c>
      <c r="G5" s="2">
        <v>20.05</v>
      </c>
    </row>
    <row r="6" spans="1:7">
      <c r="A6" t="s">
        <v>82</v>
      </c>
      <c r="B6" t="s">
        <v>241</v>
      </c>
      <c r="C6" s="39">
        <v>2.6</v>
      </c>
      <c r="D6">
        <v>0.1</v>
      </c>
      <c r="E6">
        <v>36</v>
      </c>
      <c r="F6">
        <v>44</v>
      </c>
      <c r="G6" s="2">
        <v>2.0939999999999999</v>
      </c>
    </row>
    <row r="7" spans="1:7">
      <c r="A7" t="s">
        <v>101</v>
      </c>
      <c r="B7" t="s">
        <v>242</v>
      </c>
      <c r="C7" s="39">
        <v>1.0649999999999999</v>
      </c>
      <c r="D7">
        <v>0.6</v>
      </c>
      <c r="E7">
        <v>97</v>
      </c>
      <c r="F7">
        <v>91</v>
      </c>
      <c r="G7" s="2">
        <v>70.009</v>
      </c>
    </row>
    <row r="8" spans="1:7">
      <c r="A8" t="s">
        <v>56</v>
      </c>
      <c r="B8" t="s">
        <v>243</v>
      </c>
      <c r="C8" s="39">
        <v>1.0169999999999999</v>
      </c>
      <c r="D8">
        <v>0.6</v>
      </c>
      <c r="E8">
        <v>73</v>
      </c>
      <c r="F8">
        <v>49</v>
      </c>
      <c r="G8" s="2">
        <v>28.37</v>
      </c>
    </row>
    <row r="9" spans="1:7">
      <c r="A9" t="s">
        <v>92</v>
      </c>
      <c r="B9" t="s">
        <v>242</v>
      </c>
      <c r="C9" s="39">
        <v>2.0059999999999998</v>
      </c>
      <c r="D9">
        <v>0.2</v>
      </c>
      <c r="E9">
        <v>73</v>
      </c>
      <c r="F9">
        <v>70</v>
      </c>
      <c r="G9" s="2">
        <v>13.51</v>
      </c>
    </row>
    <row r="10" spans="1:7">
      <c r="A10" t="s">
        <v>62</v>
      </c>
      <c r="B10" t="s">
        <v>244</v>
      </c>
      <c r="C10" s="39">
        <v>3.1579999999999999</v>
      </c>
      <c r="G10" s="2"/>
    </row>
    <row r="11" spans="1:7">
      <c r="A11" t="s">
        <v>114</v>
      </c>
      <c r="B11" t="s">
        <v>245</v>
      </c>
      <c r="C11" s="39">
        <v>1.008</v>
      </c>
      <c r="D11">
        <v>0.6</v>
      </c>
      <c r="E11">
        <v>83</v>
      </c>
      <c r="F11">
        <v>56</v>
      </c>
      <c r="G11" s="2">
        <v>36.865000000000002</v>
      </c>
    </row>
    <row r="12" spans="1:7">
      <c r="A12" t="s">
        <v>127</v>
      </c>
      <c r="B12" t="s">
        <v>244</v>
      </c>
      <c r="C12" s="39">
        <v>1.9119999999999999</v>
      </c>
      <c r="D12">
        <v>0.4</v>
      </c>
      <c r="E12">
        <v>71</v>
      </c>
      <c r="F12">
        <v>78</v>
      </c>
      <c r="G12" s="2">
        <v>29.282</v>
      </c>
    </row>
    <row r="13" spans="1:7">
      <c r="A13" t="s">
        <v>136</v>
      </c>
      <c r="B13" t="s">
        <v>245</v>
      </c>
      <c r="C13" s="39">
        <v>0.96199999999999997</v>
      </c>
      <c r="D13">
        <v>0.8</v>
      </c>
      <c r="E13">
        <v>59</v>
      </c>
      <c r="F13">
        <v>55</v>
      </c>
      <c r="G13" s="2">
        <v>34.316000000000003</v>
      </c>
    </row>
    <row r="14" spans="1:7">
      <c r="A14" t="s">
        <v>75</v>
      </c>
      <c r="B14" t="s">
        <v>244</v>
      </c>
      <c r="C14" s="39">
        <v>0.57199999999999995</v>
      </c>
      <c r="D14">
        <v>0.8</v>
      </c>
      <c r="E14">
        <v>46</v>
      </c>
      <c r="F14">
        <v>67</v>
      </c>
      <c r="G14" s="2">
        <v>32.591999999999999</v>
      </c>
    </row>
    <row r="15" spans="1:7">
      <c r="A15" t="s">
        <v>50</v>
      </c>
      <c r="B15" t="s">
        <v>246</v>
      </c>
      <c r="C15" s="39">
        <v>1.1040000000000001</v>
      </c>
      <c r="D15">
        <v>0.6</v>
      </c>
      <c r="E15">
        <v>70</v>
      </c>
      <c r="F15">
        <v>55</v>
      </c>
      <c r="G15" s="2">
        <v>30.535</v>
      </c>
    </row>
    <row r="16" spans="1:7">
      <c r="A16" t="s">
        <v>97</v>
      </c>
      <c r="B16" t="s">
        <v>245</v>
      </c>
      <c r="C16" s="39">
        <v>0.16900000000000001</v>
      </c>
      <c r="D16">
        <v>1</v>
      </c>
      <c r="E16">
        <v>93</v>
      </c>
      <c r="F16">
        <v>76</v>
      </c>
      <c r="G16" s="2">
        <v>93.43</v>
      </c>
    </row>
    <row r="17" spans="1:7">
      <c r="A17" t="s">
        <v>68</v>
      </c>
      <c r="B17" t="s">
        <v>244</v>
      </c>
      <c r="C17" s="39">
        <v>0.83099999999999996</v>
      </c>
      <c r="D17">
        <v>0.8</v>
      </c>
      <c r="E17">
        <v>48</v>
      </c>
      <c r="F17">
        <v>62</v>
      </c>
      <c r="G17" s="2">
        <v>31.471</v>
      </c>
    </row>
    <row r="18" spans="1:7">
      <c r="A18" t="s">
        <v>78</v>
      </c>
      <c r="B18" t="s">
        <v>240</v>
      </c>
      <c r="C18" s="39">
        <v>0.16900000000000001</v>
      </c>
      <c r="D18">
        <v>1</v>
      </c>
      <c r="E18">
        <v>89</v>
      </c>
      <c r="F18">
        <v>85</v>
      </c>
      <c r="G18" s="2">
        <v>100</v>
      </c>
    </row>
    <row r="19" spans="1:7">
      <c r="A19" t="s">
        <v>118</v>
      </c>
      <c r="B19" t="s">
        <v>242</v>
      </c>
      <c r="C19" s="39">
        <v>2.82</v>
      </c>
      <c r="D19">
        <v>0.1</v>
      </c>
      <c r="E19">
        <v>90</v>
      </c>
      <c r="F19">
        <v>81</v>
      </c>
      <c r="G19" s="2">
        <v>9.6359999999999992</v>
      </c>
    </row>
    <row r="20" spans="1:7">
      <c r="A20" t="s">
        <v>141</v>
      </c>
      <c r="B20" t="s">
        <v>247</v>
      </c>
      <c r="C20" s="39">
        <v>1.0349999999999999</v>
      </c>
      <c r="D20">
        <v>0.6</v>
      </c>
      <c r="E20">
        <v>43</v>
      </c>
      <c r="F20">
        <v>47</v>
      </c>
      <c r="G20" s="2">
        <v>16.029</v>
      </c>
    </row>
    <row r="21" spans="1:7">
      <c r="A21" t="s">
        <v>156</v>
      </c>
      <c r="B21" t="s">
        <v>244</v>
      </c>
      <c r="C21" s="39">
        <v>5.3</v>
      </c>
    </row>
    <row r="22" spans="1:7">
      <c r="A22" t="s">
        <v>169</v>
      </c>
      <c r="B22" t="s">
        <v>247</v>
      </c>
      <c r="C22" s="39">
        <v>2.6539999999999999</v>
      </c>
      <c r="D22">
        <v>0.1</v>
      </c>
      <c r="E22">
        <v>38</v>
      </c>
      <c r="F22">
        <v>54</v>
      </c>
      <c r="G22" s="2">
        <v>2.7120000000000002</v>
      </c>
    </row>
    <row r="23" spans="1:7">
      <c r="A23" t="s">
        <v>66</v>
      </c>
      <c r="B23" t="s">
        <v>242</v>
      </c>
      <c r="C23" s="39">
        <v>0.72399999999999998</v>
      </c>
      <c r="D23">
        <v>0.8</v>
      </c>
      <c r="E23">
        <v>94</v>
      </c>
      <c r="F23">
        <v>78</v>
      </c>
      <c r="G23" s="2">
        <v>77.536000000000001</v>
      </c>
    </row>
    <row r="24" spans="1:7">
      <c r="A24" t="s">
        <v>176</v>
      </c>
      <c r="B24" t="s">
        <v>243</v>
      </c>
      <c r="C24" s="39">
        <v>0.33500000000000002</v>
      </c>
      <c r="D24">
        <v>1</v>
      </c>
      <c r="E24">
        <v>77</v>
      </c>
      <c r="F24">
        <v>62</v>
      </c>
      <c r="G24" s="2">
        <v>63.106000000000002</v>
      </c>
    </row>
    <row r="25" spans="1:7">
      <c r="A25" t="s">
        <v>179</v>
      </c>
      <c r="B25" t="s">
        <v>247</v>
      </c>
      <c r="C25" s="39">
        <v>1.7030000000000001</v>
      </c>
      <c r="D25">
        <v>0.4</v>
      </c>
      <c r="E25">
        <v>67</v>
      </c>
      <c r="F25">
        <v>71</v>
      </c>
      <c r="G25" s="2">
        <v>25.152999999999999</v>
      </c>
    </row>
    <row r="26" spans="1:7">
      <c r="A26" t="s">
        <v>153</v>
      </c>
      <c r="B26" t="s">
        <v>248</v>
      </c>
      <c r="C26" s="39">
        <v>1.4019999999999999</v>
      </c>
      <c r="D26">
        <v>0.6</v>
      </c>
      <c r="E26">
        <v>64</v>
      </c>
      <c r="F26">
        <v>74</v>
      </c>
      <c r="G26" s="2">
        <v>37.561999999999998</v>
      </c>
    </row>
    <row r="27" spans="1:7">
      <c r="A27" t="s">
        <v>131</v>
      </c>
      <c r="B27" t="s">
        <v>242</v>
      </c>
      <c r="C27" s="39">
        <v>1.8169999999999999</v>
      </c>
      <c r="D27">
        <v>0.4</v>
      </c>
      <c r="E27">
        <v>96</v>
      </c>
      <c r="F27">
        <v>81</v>
      </c>
      <c r="G27" s="2">
        <v>41.116</v>
      </c>
    </row>
    <row r="28" spans="1:7">
      <c r="A28" t="s">
        <v>95</v>
      </c>
      <c r="B28" t="s">
        <v>242</v>
      </c>
      <c r="C28" s="39">
        <v>3.0110000000000001</v>
      </c>
      <c r="D28">
        <v>0.1</v>
      </c>
      <c r="E28">
        <v>95</v>
      </c>
      <c r="F28">
        <v>81</v>
      </c>
      <c r="G28" s="2">
        <v>10.172000000000001</v>
      </c>
    </row>
    <row r="29" spans="1:7">
      <c r="A29" t="s">
        <v>120</v>
      </c>
      <c r="B29" t="s">
        <v>247</v>
      </c>
      <c r="C29" s="39">
        <v>0.46899999999999997</v>
      </c>
      <c r="D29">
        <v>1</v>
      </c>
      <c r="E29">
        <v>88</v>
      </c>
      <c r="F29">
        <v>70</v>
      </c>
      <c r="G29" s="2">
        <v>81.427999999999997</v>
      </c>
    </row>
    <row r="30" spans="1:7">
      <c r="A30" t="s">
        <v>158</v>
      </c>
      <c r="B30" t="s">
        <v>240</v>
      </c>
      <c r="C30" s="39">
        <v>1.0469999999999999</v>
      </c>
      <c r="D30">
        <v>0.6</v>
      </c>
      <c r="E30">
        <v>81</v>
      </c>
      <c r="F30">
        <v>83</v>
      </c>
      <c r="G30" s="2">
        <v>53.322000000000003</v>
      </c>
    </row>
    <row r="31" spans="1:7">
      <c r="A31" t="s">
        <v>107</v>
      </c>
      <c r="B31" t="s">
        <v>247</v>
      </c>
      <c r="C31" s="39">
        <v>0.41299999999999998</v>
      </c>
      <c r="D31">
        <v>1</v>
      </c>
      <c r="E31">
        <v>72</v>
      </c>
      <c r="F31">
        <v>81</v>
      </c>
      <c r="G31" s="2">
        <v>77.091999999999999</v>
      </c>
    </row>
    <row r="32" spans="1:7">
      <c r="A32" t="s">
        <v>173</v>
      </c>
      <c r="B32" t="s">
        <v>248</v>
      </c>
      <c r="C32" s="39">
        <v>1.054</v>
      </c>
      <c r="D32">
        <v>0.6</v>
      </c>
      <c r="E32">
        <v>76</v>
      </c>
      <c r="F32">
        <v>76</v>
      </c>
      <c r="G32" s="2">
        <v>45.811</v>
      </c>
    </row>
    <row r="33" spans="1:7">
      <c r="A33" t="s">
        <v>133</v>
      </c>
      <c r="B33" t="s">
        <v>248</v>
      </c>
      <c r="C33" s="39">
        <v>0.73399999999999999</v>
      </c>
      <c r="D33">
        <v>0.8</v>
      </c>
      <c r="E33">
        <v>48</v>
      </c>
      <c r="F33">
        <v>58</v>
      </c>
      <c r="G33" s="2">
        <v>29.440999999999999</v>
      </c>
    </row>
    <row r="34" spans="1:7">
      <c r="A34" t="s">
        <v>87</v>
      </c>
      <c r="B34" t="s">
        <v>246</v>
      </c>
      <c r="C34" s="39">
        <v>1.643</v>
      </c>
      <c r="D34">
        <v>0.4</v>
      </c>
      <c r="E34">
        <v>76</v>
      </c>
      <c r="F34">
        <v>67</v>
      </c>
      <c r="G34" s="2">
        <v>26.923999999999999</v>
      </c>
    </row>
    <row r="35" spans="1:7">
      <c r="A35" t="s">
        <v>90</v>
      </c>
      <c r="B35" t="s">
        <v>246</v>
      </c>
      <c r="C35" s="39">
        <v>0.79300000000000004</v>
      </c>
      <c r="D35">
        <v>0.8</v>
      </c>
      <c r="E35">
        <v>91</v>
      </c>
      <c r="F35">
        <v>77</v>
      </c>
      <c r="G35" s="2">
        <v>74.099000000000004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B0E9-E7D5-4A13-85C7-7DFB09E8B888}">
  <dimension ref="A1:I194"/>
  <sheetViews>
    <sheetView zoomScale="85" zoomScaleNormal="85" workbookViewId="0">
      <selection activeCell="A2" sqref="A2"/>
    </sheetView>
  </sheetViews>
  <sheetFormatPr defaultRowHeight="13.9"/>
  <cols>
    <col min="1" max="1" width="38.5703125" customWidth="1"/>
    <col min="2" max="2" width="28" customWidth="1"/>
    <col min="3" max="3" width="26.7109375" customWidth="1"/>
    <col min="4" max="4" width="14.85546875" customWidth="1"/>
    <col min="5" max="5" width="16.28515625" customWidth="1"/>
    <col min="6" max="6" width="21.42578125" customWidth="1"/>
    <col min="7" max="7" width="21" customWidth="1"/>
    <col min="8" max="8" width="19.28515625" customWidth="1"/>
    <col min="9" max="9" width="8.85546875" customWidth="1"/>
  </cols>
  <sheetData>
    <row r="1" spans="1:9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</row>
    <row r="2" spans="1:9">
      <c r="A2" t="s">
        <v>258</v>
      </c>
      <c r="B2" t="s">
        <v>51</v>
      </c>
      <c r="C2">
        <v>241</v>
      </c>
      <c r="D2">
        <v>24</v>
      </c>
      <c r="E2">
        <v>2.4998672938140101</v>
      </c>
      <c r="F2">
        <v>78.660319404983596</v>
      </c>
      <c r="G2">
        <v>61.153185608906497</v>
      </c>
      <c r="H2">
        <v>15.3846153846153</v>
      </c>
      <c r="I2">
        <v>57.251611702871401</v>
      </c>
    </row>
    <row r="3" spans="1:9">
      <c r="A3" t="s">
        <v>259</v>
      </c>
      <c r="B3" t="s">
        <v>51</v>
      </c>
      <c r="C3">
        <v>167</v>
      </c>
      <c r="D3">
        <v>17</v>
      </c>
      <c r="E3">
        <v>2.0027846134910998</v>
      </c>
      <c r="F3">
        <v>70.6895094113803</v>
      </c>
      <c r="G3">
        <v>48.993264365094497</v>
      </c>
      <c r="H3">
        <v>10.8974358974358</v>
      </c>
      <c r="I3">
        <v>47.882972185448502</v>
      </c>
    </row>
    <row r="4" spans="1:9">
      <c r="A4" t="s">
        <v>260</v>
      </c>
      <c r="B4" t="s">
        <v>54</v>
      </c>
      <c r="C4">
        <v>339</v>
      </c>
      <c r="D4">
        <v>47</v>
      </c>
      <c r="E4">
        <v>3.2836718105242499</v>
      </c>
      <c r="F4">
        <v>85.286907158203405</v>
      </c>
      <c r="G4">
        <v>80.327060642229299</v>
      </c>
      <c r="H4">
        <v>30.128205128205099</v>
      </c>
      <c r="I4">
        <v>71.775243494216696</v>
      </c>
    </row>
    <row r="5" spans="1:9">
      <c r="A5" t="s">
        <v>261</v>
      </c>
      <c r="B5" t="s">
        <v>54</v>
      </c>
      <c r="C5">
        <v>155</v>
      </c>
      <c r="D5">
        <v>42</v>
      </c>
      <c r="E5">
        <v>3.2396458032767299</v>
      </c>
      <c r="F5">
        <v>86.675552794434196</v>
      </c>
      <c r="G5">
        <v>79.250071235835904</v>
      </c>
      <c r="H5">
        <v>26.923076923076898</v>
      </c>
      <c r="I5">
        <v>71.012316840863605</v>
      </c>
    </row>
    <row r="6" spans="1:9">
      <c r="A6" t="s">
        <v>262</v>
      </c>
      <c r="B6" t="s">
        <v>263</v>
      </c>
      <c r="C6">
        <v>434</v>
      </c>
      <c r="D6">
        <v>43</v>
      </c>
      <c r="E6">
        <v>3.10112895263928</v>
      </c>
      <c r="F6">
        <v>82.450517314935098</v>
      </c>
      <c r="G6">
        <v>75.861592696213407</v>
      </c>
      <c r="H6">
        <v>27.564102564102502</v>
      </c>
      <c r="I6">
        <v>68.178772055407705</v>
      </c>
    </row>
    <row r="7" spans="1:9">
      <c r="A7" t="s">
        <v>264</v>
      </c>
      <c r="B7" t="s">
        <v>57</v>
      </c>
      <c r="C7">
        <v>548</v>
      </c>
      <c r="D7">
        <v>62</v>
      </c>
      <c r="E7">
        <v>3.4406130000009698</v>
      </c>
      <c r="F7">
        <v>83.365664381277</v>
      </c>
      <c r="G7">
        <v>84.1662459115839</v>
      </c>
      <c r="H7">
        <v>39.743589743589702</v>
      </c>
      <c r="I7">
        <v>75.041540218893005</v>
      </c>
    </row>
    <row r="8" spans="1:9">
      <c r="A8" t="s">
        <v>265</v>
      </c>
      <c r="B8" t="s">
        <v>134</v>
      </c>
      <c r="C8">
        <v>649</v>
      </c>
      <c r="D8">
        <v>77</v>
      </c>
      <c r="E8">
        <v>3.6042089526732601</v>
      </c>
      <c r="F8">
        <v>82.973535935575995</v>
      </c>
      <c r="G8">
        <v>88.168223809927198</v>
      </c>
      <c r="H8">
        <v>49.358974358974301</v>
      </c>
      <c r="I8">
        <v>78.847967557431204</v>
      </c>
    </row>
    <row r="9" spans="1:9">
      <c r="A9" t="s">
        <v>266</v>
      </c>
      <c r="B9" t="s">
        <v>134</v>
      </c>
      <c r="C9">
        <v>1639</v>
      </c>
      <c r="D9">
        <v>98</v>
      </c>
      <c r="E9">
        <v>3.5799232540705601</v>
      </c>
      <c r="F9">
        <v>78.079577897215003</v>
      </c>
      <c r="G9">
        <v>87.574133140407199</v>
      </c>
      <c r="H9">
        <v>62.820512820512803</v>
      </c>
      <c r="I9">
        <v>79.775042503470601</v>
      </c>
    </row>
    <row r="10" spans="1:9">
      <c r="A10" t="s">
        <v>267</v>
      </c>
      <c r="B10" t="s">
        <v>98</v>
      </c>
      <c r="C10">
        <v>60</v>
      </c>
      <c r="D10">
        <v>3</v>
      </c>
      <c r="E10">
        <v>0.34292028864026503</v>
      </c>
      <c r="F10">
        <v>31.213949832656599</v>
      </c>
      <c r="G10">
        <v>8.3887125177286102</v>
      </c>
      <c r="H10">
        <v>1.92307692307692</v>
      </c>
      <c r="I10">
        <v>13.9431565932766</v>
      </c>
    </row>
    <row r="11" spans="1:9">
      <c r="A11" t="s">
        <v>268</v>
      </c>
      <c r="B11" t="s">
        <v>63</v>
      </c>
      <c r="C11">
        <v>453</v>
      </c>
      <c r="D11">
        <v>10</v>
      </c>
      <c r="E11">
        <v>1.45012337688515</v>
      </c>
      <c r="F11">
        <v>62.978058066013197</v>
      </c>
      <c r="G11">
        <v>35.473748643342901</v>
      </c>
      <c r="H11">
        <v>6.4102564102564097</v>
      </c>
      <c r="I11">
        <v>37.912343023526702</v>
      </c>
    </row>
    <row r="12" spans="1:9">
      <c r="A12" t="s">
        <v>269</v>
      </c>
      <c r="B12" t="s">
        <v>63</v>
      </c>
      <c r="C12">
        <v>541</v>
      </c>
      <c r="D12">
        <v>13</v>
      </c>
      <c r="E12">
        <v>1.8183258514593099</v>
      </c>
      <c r="F12">
        <v>70.891296398103805</v>
      </c>
      <c r="G12">
        <v>44.480928474452597</v>
      </c>
      <c r="H12">
        <v>8.3333333333333304</v>
      </c>
      <c r="I12">
        <v>45.174519823324097</v>
      </c>
    </row>
    <row r="13" spans="1:9">
      <c r="A13" t="s">
        <v>58</v>
      </c>
      <c r="B13" t="s">
        <v>263</v>
      </c>
      <c r="C13">
        <v>2790</v>
      </c>
      <c r="D13">
        <v>71</v>
      </c>
      <c r="E13">
        <v>2.7591795696047998</v>
      </c>
      <c r="F13">
        <v>64.728753957473401</v>
      </c>
      <c r="G13">
        <v>67.496631027526405</v>
      </c>
      <c r="H13">
        <v>45.512820512820497</v>
      </c>
      <c r="I13">
        <v>62.269505803569302</v>
      </c>
    </row>
    <row r="14" spans="1:9">
      <c r="A14" t="s">
        <v>270</v>
      </c>
      <c r="B14" t="s">
        <v>134</v>
      </c>
      <c r="C14">
        <v>4734</v>
      </c>
      <c r="D14">
        <v>102</v>
      </c>
      <c r="E14">
        <v>2.6074181330027302</v>
      </c>
      <c r="F14">
        <v>56.376939676563403</v>
      </c>
      <c r="G14">
        <v>63.784155839836998</v>
      </c>
      <c r="H14">
        <v>65.384615384615302</v>
      </c>
      <c r="I14">
        <v>61.882082899810598</v>
      </c>
    </row>
    <row r="15" spans="1:9">
      <c r="A15" t="s">
        <v>61</v>
      </c>
      <c r="B15" t="s">
        <v>63</v>
      </c>
      <c r="C15">
        <v>1339</v>
      </c>
      <c r="D15">
        <v>40</v>
      </c>
      <c r="E15">
        <v>2.6050231747641099</v>
      </c>
      <c r="F15">
        <v>70.618278725777301</v>
      </c>
      <c r="G15">
        <v>63.7255689996257</v>
      </c>
      <c r="H15">
        <v>25.6410256410256</v>
      </c>
      <c r="I15">
        <v>58.176473245751197</v>
      </c>
    </row>
    <row r="16" spans="1:9">
      <c r="A16" t="s">
        <v>64</v>
      </c>
      <c r="B16" t="s">
        <v>63</v>
      </c>
      <c r="C16">
        <v>788</v>
      </c>
      <c r="D16">
        <v>11</v>
      </c>
      <c r="E16">
        <v>1.33887105582204</v>
      </c>
      <c r="F16">
        <v>55.835259821817203</v>
      </c>
      <c r="G16">
        <v>32.752230642675698</v>
      </c>
      <c r="H16">
        <v>7.0512820512820502</v>
      </c>
      <c r="I16">
        <v>34.536949678139401</v>
      </c>
    </row>
    <row r="17" spans="1:9">
      <c r="A17" t="s">
        <v>271</v>
      </c>
      <c r="B17" t="s">
        <v>98</v>
      </c>
      <c r="C17">
        <v>292</v>
      </c>
      <c r="D17">
        <v>25</v>
      </c>
      <c r="E17">
        <v>2.3074600525101299</v>
      </c>
      <c r="F17">
        <v>71.685277036265106</v>
      </c>
      <c r="G17">
        <v>56.446409465600901</v>
      </c>
      <c r="H17">
        <v>16.025641025641001</v>
      </c>
      <c r="I17">
        <v>52.9339160488082</v>
      </c>
    </row>
    <row r="18" spans="1:9">
      <c r="A18" t="s">
        <v>272</v>
      </c>
      <c r="B18" t="s">
        <v>57</v>
      </c>
      <c r="C18">
        <v>843</v>
      </c>
      <c r="D18">
        <v>64</v>
      </c>
      <c r="E18">
        <v>3.4061241278599299</v>
      </c>
      <c r="F18">
        <v>81.899973131929499</v>
      </c>
      <c r="G18">
        <v>83.322559366821494</v>
      </c>
      <c r="H18">
        <v>41.025641025641001</v>
      </c>
      <c r="I18">
        <v>74.4363998281178</v>
      </c>
    </row>
    <row r="19" spans="1:9">
      <c r="A19" t="s">
        <v>273</v>
      </c>
      <c r="B19" t="s">
        <v>98</v>
      </c>
      <c r="C19">
        <v>447</v>
      </c>
      <c r="D19">
        <v>38</v>
      </c>
      <c r="E19">
        <v>2.93393017492888</v>
      </c>
      <c r="F19">
        <v>80.655963765530899</v>
      </c>
      <c r="G19">
        <v>71.771480428171103</v>
      </c>
      <c r="H19">
        <v>24.358974358974301</v>
      </c>
      <c r="I19">
        <v>64.9543242155397</v>
      </c>
    </row>
    <row r="20" spans="1:9">
      <c r="A20" t="s">
        <v>274</v>
      </c>
      <c r="B20" t="s">
        <v>73</v>
      </c>
      <c r="C20">
        <v>86</v>
      </c>
      <c r="D20">
        <v>15</v>
      </c>
      <c r="E20">
        <v>2.33820296219614</v>
      </c>
      <c r="F20">
        <v>86.342674195790806</v>
      </c>
      <c r="G20">
        <v>57.198460131185598</v>
      </c>
      <c r="H20">
        <v>9.6153846153846096</v>
      </c>
      <c r="I20">
        <v>56.425109247406901</v>
      </c>
    </row>
    <row r="21" spans="1:9">
      <c r="A21" t="s">
        <v>74</v>
      </c>
      <c r="B21" t="s">
        <v>69</v>
      </c>
      <c r="C21">
        <v>973</v>
      </c>
      <c r="D21">
        <v>101</v>
      </c>
      <c r="E21">
        <v>3.8322597719218701</v>
      </c>
      <c r="F21">
        <v>83.037046550298896</v>
      </c>
      <c r="G21">
        <v>93.7469335727546</v>
      </c>
      <c r="H21">
        <v>64.743589743589695</v>
      </c>
      <c r="I21">
        <v>84.733298700184903</v>
      </c>
    </row>
    <row r="22" spans="1:9">
      <c r="A22" t="s">
        <v>275</v>
      </c>
      <c r="B22" t="s">
        <v>51</v>
      </c>
      <c r="C22">
        <v>662</v>
      </c>
      <c r="D22">
        <v>81</v>
      </c>
      <c r="E22">
        <v>3.70596029644748</v>
      </c>
      <c r="F22">
        <v>84.332760853702993</v>
      </c>
      <c r="G22">
        <v>90.657323462207899</v>
      </c>
      <c r="H22">
        <v>51.923076923076898</v>
      </c>
      <c r="I22">
        <v>81.013105371830207</v>
      </c>
    </row>
    <row r="23" spans="1:9">
      <c r="A23" t="s">
        <v>276</v>
      </c>
      <c r="B23" t="s">
        <v>134</v>
      </c>
      <c r="C23">
        <v>403</v>
      </c>
      <c r="D23">
        <v>34</v>
      </c>
      <c r="E23">
        <v>2.8187576286390699</v>
      </c>
      <c r="F23">
        <v>79.933903778766194</v>
      </c>
      <c r="G23">
        <v>68.954063632591897</v>
      </c>
      <c r="H23">
        <v>21.7948717948717</v>
      </c>
      <c r="I23">
        <v>62.816177308900201</v>
      </c>
    </row>
    <row r="24" spans="1:9">
      <c r="A24" t="s">
        <v>277</v>
      </c>
      <c r="B24" t="s">
        <v>73</v>
      </c>
      <c r="C24">
        <v>203</v>
      </c>
      <c r="D24">
        <v>47</v>
      </c>
      <c r="E24">
        <v>3.0237829689454498</v>
      </c>
      <c r="F24">
        <v>78.536806422756996</v>
      </c>
      <c r="G24">
        <v>73.969510941059099</v>
      </c>
      <c r="H24">
        <v>30.128205128205099</v>
      </c>
      <c r="I24">
        <v>66.571438422997701</v>
      </c>
    </row>
    <row r="25" spans="1:9">
      <c r="A25" t="s">
        <v>278</v>
      </c>
      <c r="B25" t="s">
        <v>69</v>
      </c>
      <c r="C25">
        <v>2518</v>
      </c>
      <c r="D25">
        <v>103</v>
      </c>
      <c r="E25">
        <v>3.2205397218145002</v>
      </c>
      <c r="F25">
        <v>69.487120606046105</v>
      </c>
      <c r="G25">
        <v>78.782687327574294</v>
      </c>
      <c r="H25">
        <v>66.025641025640994</v>
      </c>
      <c r="I25">
        <v>73.442608050729206</v>
      </c>
    </row>
    <row r="26" spans="1:9">
      <c r="A26" t="s">
        <v>279</v>
      </c>
      <c r="B26" t="s">
        <v>54</v>
      </c>
      <c r="C26">
        <v>493</v>
      </c>
      <c r="D26">
        <v>64</v>
      </c>
      <c r="E26">
        <v>2.47317624323134</v>
      </c>
      <c r="F26">
        <v>59.467318355904098</v>
      </c>
      <c r="G26">
        <v>60.500253841521101</v>
      </c>
      <c r="H26">
        <v>41.025641025641001</v>
      </c>
      <c r="I26">
        <v>56.29545063266</v>
      </c>
    </row>
    <row r="27" spans="1:9">
      <c r="A27" t="s">
        <v>280</v>
      </c>
      <c r="B27" t="s">
        <v>54</v>
      </c>
      <c r="C27">
        <v>366</v>
      </c>
      <c r="D27">
        <v>64</v>
      </c>
      <c r="E27">
        <v>2.7590764889691801</v>
      </c>
      <c r="F27">
        <v>66.341766134486306</v>
      </c>
      <c r="G27">
        <v>67.494109409975707</v>
      </c>
      <c r="H27">
        <v>41.025641025641001</v>
      </c>
      <c r="I27">
        <v>61.8547127504619</v>
      </c>
    </row>
    <row r="28" spans="1:9">
      <c r="A28" t="s">
        <v>281</v>
      </c>
      <c r="B28" t="s">
        <v>54</v>
      </c>
      <c r="C28">
        <v>280</v>
      </c>
      <c r="D28">
        <v>9</v>
      </c>
      <c r="E28">
        <v>1.3745629793908301</v>
      </c>
      <c r="F28">
        <v>62.559057165529701</v>
      </c>
      <c r="G28">
        <v>33.625346920544601</v>
      </c>
      <c r="H28">
        <v>5.7692307692307603</v>
      </c>
      <c r="I28">
        <v>36.734236763777297</v>
      </c>
    </row>
    <row r="29" spans="1:9">
      <c r="A29" t="s">
        <v>282</v>
      </c>
      <c r="B29" t="s">
        <v>263</v>
      </c>
      <c r="C29">
        <v>2654</v>
      </c>
      <c r="D29">
        <v>42</v>
      </c>
      <c r="E29">
        <v>2.57351165097923</v>
      </c>
      <c r="F29">
        <v>68.853374262682607</v>
      </c>
      <c r="G29">
        <v>62.954716055709603</v>
      </c>
      <c r="H29">
        <v>26.923076923076898</v>
      </c>
      <c r="I29">
        <v>57.517985691275001</v>
      </c>
    </row>
    <row r="30" spans="1:9">
      <c r="A30" t="s">
        <v>283</v>
      </c>
      <c r="B30" t="s">
        <v>263</v>
      </c>
      <c r="C30">
        <v>859</v>
      </c>
      <c r="D30">
        <v>40</v>
      </c>
      <c r="E30">
        <v>2.4642415146059</v>
      </c>
      <c r="F30">
        <v>66.801898659434897</v>
      </c>
      <c r="G30">
        <v>60.281687392274698</v>
      </c>
      <c r="H30">
        <v>25.6410256410256</v>
      </c>
      <c r="I30">
        <v>55.309618422172903</v>
      </c>
    </row>
    <row r="31" spans="1:9">
      <c r="A31" t="s">
        <v>284</v>
      </c>
      <c r="B31" t="s">
        <v>51</v>
      </c>
      <c r="C31">
        <v>90</v>
      </c>
      <c r="D31">
        <v>12</v>
      </c>
      <c r="E31">
        <v>1.8803900295190299</v>
      </c>
      <c r="F31">
        <v>75.672461566291105</v>
      </c>
      <c r="G31">
        <v>45.999177947111498</v>
      </c>
      <c r="H31">
        <v>7.6923076923076898</v>
      </c>
      <c r="I31">
        <v>47.239788981904603</v>
      </c>
    </row>
    <row r="32" spans="1:9">
      <c r="A32" t="s">
        <v>285</v>
      </c>
      <c r="B32" t="s">
        <v>263</v>
      </c>
      <c r="C32">
        <v>1173</v>
      </c>
      <c r="D32">
        <v>46</v>
      </c>
      <c r="E32">
        <v>3.2577032468341902</v>
      </c>
      <c r="F32">
        <v>85.087708914748205</v>
      </c>
      <c r="G32">
        <v>79.691802763035199</v>
      </c>
      <c r="H32">
        <v>29.4871794871794</v>
      </c>
      <c r="I32">
        <v>71.269649953378007</v>
      </c>
    </row>
    <row r="33" spans="1:9">
      <c r="A33" t="s">
        <v>286</v>
      </c>
      <c r="B33" t="s">
        <v>263</v>
      </c>
      <c r="C33">
        <v>1899</v>
      </c>
      <c r="D33">
        <v>113</v>
      </c>
      <c r="E33">
        <v>3.7208968581130599</v>
      </c>
      <c r="F33">
        <v>78.709363411749294</v>
      </c>
      <c r="G33">
        <v>91.022710188997195</v>
      </c>
      <c r="H33">
        <v>72.435897435897402</v>
      </c>
      <c r="I33">
        <v>83.611343605202904</v>
      </c>
    </row>
    <row r="34" spans="1:9">
      <c r="A34" t="s">
        <v>287</v>
      </c>
      <c r="B34" t="s">
        <v>263</v>
      </c>
      <c r="C34">
        <v>2193</v>
      </c>
      <c r="D34">
        <v>143</v>
      </c>
      <c r="E34">
        <v>3.9557395058169802</v>
      </c>
      <c r="F34">
        <v>79.707099466658406</v>
      </c>
      <c r="G34">
        <v>96.7675655497045</v>
      </c>
      <c r="H34">
        <v>91.6666666666666</v>
      </c>
      <c r="I34">
        <v>90.629245948183097</v>
      </c>
    </row>
    <row r="35" spans="1:9">
      <c r="A35" t="s">
        <v>288</v>
      </c>
      <c r="B35" t="s">
        <v>263</v>
      </c>
      <c r="C35">
        <v>2871</v>
      </c>
      <c r="D35">
        <v>72</v>
      </c>
      <c r="E35">
        <v>3.30980769377119</v>
      </c>
      <c r="F35">
        <v>77.392239694706007</v>
      </c>
      <c r="G35">
        <v>80.966411588260499</v>
      </c>
      <c r="H35">
        <v>46.153846153846096</v>
      </c>
      <c r="I35">
        <v>72.931646933311299</v>
      </c>
    </row>
    <row r="36" spans="1:9">
      <c r="A36" t="s">
        <v>289</v>
      </c>
      <c r="B36" t="s">
        <v>263</v>
      </c>
      <c r="C36">
        <v>489</v>
      </c>
      <c r="D36">
        <v>26</v>
      </c>
      <c r="E36">
        <v>2.8402871436828199</v>
      </c>
      <c r="F36">
        <v>87.1762733404953</v>
      </c>
      <c r="G36">
        <v>69.480730961212899</v>
      </c>
      <c r="H36">
        <v>16.6666666666666</v>
      </c>
      <c r="I36">
        <v>64.226580816088401</v>
      </c>
    </row>
    <row r="37" spans="1:9">
      <c r="A37" t="s">
        <v>290</v>
      </c>
      <c r="B37" t="s">
        <v>263</v>
      </c>
      <c r="C37">
        <v>2554</v>
      </c>
      <c r="D37">
        <v>91</v>
      </c>
      <c r="E37">
        <v>3.3224178525994801</v>
      </c>
      <c r="F37">
        <v>73.653764826848999</v>
      </c>
      <c r="G37">
        <v>81.274888516332993</v>
      </c>
      <c r="H37">
        <v>58.3333333333333</v>
      </c>
      <c r="I37">
        <v>74.400240372887893</v>
      </c>
    </row>
    <row r="38" spans="1:9">
      <c r="A38" t="s">
        <v>291</v>
      </c>
      <c r="B38" t="s">
        <v>263</v>
      </c>
      <c r="C38">
        <v>1273</v>
      </c>
      <c r="D38">
        <v>34</v>
      </c>
      <c r="E38">
        <v>2.4779592160974202</v>
      </c>
      <c r="F38">
        <v>70.269593786561103</v>
      </c>
      <c r="G38">
        <v>60.617257663350202</v>
      </c>
      <c r="H38">
        <v>21.7948717948717</v>
      </c>
      <c r="I38">
        <v>55.748481326617799</v>
      </c>
    </row>
    <row r="39" spans="1:9">
      <c r="A39" t="s">
        <v>292</v>
      </c>
      <c r="B39" t="s">
        <v>263</v>
      </c>
      <c r="C39">
        <v>1224</v>
      </c>
      <c r="D39">
        <v>68</v>
      </c>
      <c r="E39">
        <v>3.45734565386066</v>
      </c>
      <c r="F39">
        <v>81.937180719435602</v>
      </c>
      <c r="G39">
        <v>84.5755696743866</v>
      </c>
      <c r="H39">
        <v>43.589743589743499</v>
      </c>
      <c r="I39">
        <v>75.586887770972695</v>
      </c>
    </row>
    <row r="40" spans="1:9">
      <c r="A40" t="s">
        <v>293</v>
      </c>
      <c r="B40" t="s">
        <v>51</v>
      </c>
      <c r="C40">
        <v>81</v>
      </c>
      <c r="D40">
        <v>6</v>
      </c>
      <c r="E40">
        <v>0.64975182482549698</v>
      </c>
      <c r="F40">
        <v>36.263339805617399</v>
      </c>
      <c r="G40">
        <v>15.8946013020783</v>
      </c>
      <c r="H40">
        <v>3.84615384615384</v>
      </c>
      <c r="I40">
        <v>19.595533361955201</v>
      </c>
    </row>
    <row r="41" spans="1:9">
      <c r="A41" t="s">
        <v>294</v>
      </c>
      <c r="B41" t="s">
        <v>98</v>
      </c>
      <c r="C41">
        <v>227</v>
      </c>
      <c r="D41">
        <v>31</v>
      </c>
      <c r="E41">
        <v>2.79473715700825</v>
      </c>
      <c r="F41">
        <v>81.384611840080098</v>
      </c>
      <c r="G41">
        <v>68.366461097173996</v>
      </c>
      <c r="H41">
        <v>19.871794871794801</v>
      </c>
      <c r="I41">
        <v>62.572973074970001</v>
      </c>
    </row>
    <row r="42" spans="1:9">
      <c r="A42" t="s">
        <v>295</v>
      </c>
      <c r="B42" t="s">
        <v>57</v>
      </c>
      <c r="C42">
        <v>302</v>
      </c>
      <c r="D42">
        <v>55</v>
      </c>
      <c r="E42">
        <v>3.4663078547686301</v>
      </c>
      <c r="F42">
        <v>86.499117855795404</v>
      </c>
      <c r="G42">
        <v>84.794808166344097</v>
      </c>
      <c r="H42">
        <v>35.256410256410199</v>
      </c>
      <c r="I42">
        <v>75.398421491192707</v>
      </c>
    </row>
    <row r="43" spans="1:9">
      <c r="A43" t="s">
        <v>296</v>
      </c>
      <c r="B43" t="s">
        <v>57</v>
      </c>
      <c r="C43">
        <v>417</v>
      </c>
      <c r="D43">
        <v>53</v>
      </c>
      <c r="E43">
        <v>2.8830365570906098</v>
      </c>
      <c r="F43">
        <v>72.615228800927994</v>
      </c>
      <c r="G43">
        <v>70.526491597894506</v>
      </c>
      <c r="H43">
        <v>33.9743589743589</v>
      </c>
      <c r="I43">
        <v>63.8426862340974</v>
      </c>
    </row>
    <row r="44" spans="1:9">
      <c r="A44" t="s">
        <v>297</v>
      </c>
      <c r="B44" t="s">
        <v>73</v>
      </c>
      <c r="C44">
        <v>269</v>
      </c>
      <c r="D44">
        <v>48</v>
      </c>
      <c r="E44">
        <v>2.4104815526169898</v>
      </c>
      <c r="F44">
        <v>62.267021160228403</v>
      </c>
      <c r="G44">
        <v>58.966580409607602</v>
      </c>
      <c r="H44">
        <v>30.769230769230699</v>
      </c>
      <c r="I44">
        <v>54.317242706718403</v>
      </c>
    </row>
    <row r="45" spans="1:9">
      <c r="A45" t="s">
        <v>298</v>
      </c>
      <c r="B45" t="s">
        <v>134</v>
      </c>
      <c r="C45">
        <v>807</v>
      </c>
      <c r="D45">
        <v>64</v>
      </c>
      <c r="E45">
        <v>3.3493428598782602</v>
      </c>
      <c r="F45">
        <v>80.534672236387095</v>
      </c>
      <c r="G45">
        <v>81.9335434664236</v>
      </c>
      <c r="H45">
        <v>41.025641025641001</v>
      </c>
      <c r="I45">
        <v>73.332301609256106</v>
      </c>
    </row>
    <row r="46" spans="1:9">
      <c r="A46" t="s">
        <v>299</v>
      </c>
      <c r="B46" t="s">
        <v>51</v>
      </c>
      <c r="C46">
        <v>301</v>
      </c>
      <c r="D46">
        <v>25</v>
      </c>
      <c r="E46">
        <v>2.49039971396477</v>
      </c>
      <c r="F46">
        <v>77.368617165179103</v>
      </c>
      <c r="G46">
        <v>60.921584247818203</v>
      </c>
      <c r="H46">
        <v>16.025641025641001</v>
      </c>
      <c r="I46">
        <v>56.876505478591</v>
      </c>
    </row>
    <row r="47" spans="1:9">
      <c r="A47" t="s">
        <v>300</v>
      </c>
      <c r="B47" t="s">
        <v>51</v>
      </c>
      <c r="C47">
        <v>118</v>
      </c>
      <c r="D47">
        <v>19</v>
      </c>
      <c r="E47">
        <v>2.1514329087519601</v>
      </c>
      <c r="F47">
        <v>73.0676683733152</v>
      </c>
      <c r="G47">
        <v>52.629584106158099</v>
      </c>
      <c r="H47">
        <v>12.179487179487101</v>
      </c>
      <c r="I47">
        <v>50.670990000971102</v>
      </c>
    </row>
    <row r="48" spans="1:9">
      <c r="A48" t="s">
        <v>301</v>
      </c>
      <c r="B48" t="s">
        <v>51</v>
      </c>
      <c r="C48">
        <v>242</v>
      </c>
      <c r="D48">
        <v>42</v>
      </c>
      <c r="E48">
        <v>3.0232236688877498</v>
      </c>
      <c r="F48">
        <v>80.885256794747207</v>
      </c>
      <c r="G48">
        <v>73.955829022693194</v>
      </c>
      <c r="H48">
        <v>26.923076923076898</v>
      </c>
      <c r="I48">
        <v>66.628106934386196</v>
      </c>
    </row>
    <row r="49" spans="1:9">
      <c r="A49" t="s">
        <v>302</v>
      </c>
      <c r="B49" t="s">
        <v>98</v>
      </c>
      <c r="C49">
        <v>225</v>
      </c>
      <c r="D49">
        <v>18</v>
      </c>
      <c r="E49">
        <v>2.0858783854600502</v>
      </c>
      <c r="F49">
        <v>72.166439481761103</v>
      </c>
      <c r="G49">
        <v>51.025951809238201</v>
      </c>
      <c r="H49">
        <v>11.538461538461499</v>
      </c>
      <c r="I49">
        <v>49.4706000568397</v>
      </c>
    </row>
    <row r="50" spans="1:9">
      <c r="A50" t="s">
        <v>303</v>
      </c>
      <c r="B50" t="s">
        <v>51</v>
      </c>
      <c r="C50">
        <v>272</v>
      </c>
      <c r="D50">
        <v>33</v>
      </c>
      <c r="E50">
        <v>2.9617645729615698</v>
      </c>
      <c r="F50">
        <v>84.706368308821098</v>
      </c>
      <c r="G50">
        <v>72.452381415762503</v>
      </c>
      <c r="H50">
        <v>21.1538461538461</v>
      </c>
      <c r="I50">
        <v>65.868870431296799</v>
      </c>
    </row>
    <row r="51" spans="1:9">
      <c r="A51" t="s">
        <v>304</v>
      </c>
      <c r="B51" t="s">
        <v>57</v>
      </c>
      <c r="C51">
        <v>79</v>
      </c>
      <c r="D51">
        <v>17</v>
      </c>
      <c r="E51">
        <v>2.2636549451393599</v>
      </c>
      <c r="F51">
        <v>79.8970875203687</v>
      </c>
      <c r="G51">
        <v>55.374823838519099</v>
      </c>
      <c r="H51">
        <v>10.8974358974358</v>
      </c>
      <c r="I51">
        <v>53.836025354857298</v>
      </c>
    </row>
    <row r="52" spans="1:9">
      <c r="A52" t="s">
        <v>305</v>
      </c>
      <c r="B52" t="s">
        <v>98</v>
      </c>
      <c r="C52">
        <v>171</v>
      </c>
      <c r="D52">
        <v>12</v>
      </c>
      <c r="E52">
        <v>1.54449477902629</v>
      </c>
      <c r="F52">
        <v>62.1550422893378</v>
      </c>
      <c r="G52">
        <v>37.782315936331202</v>
      </c>
      <c r="H52">
        <v>7.6923076923076898</v>
      </c>
      <c r="I52">
        <v>39.076132193428499</v>
      </c>
    </row>
    <row r="53" spans="1:9">
      <c r="A53" t="s">
        <v>306</v>
      </c>
      <c r="B53" t="s">
        <v>54</v>
      </c>
      <c r="C53">
        <v>460</v>
      </c>
      <c r="D53">
        <v>55</v>
      </c>
      <c r="E53">
        <v>3.2884208099019698</v>
      </c>
      <c r="F53">
        <v>82.060079806196796</v>
      </c>
      <c r="G53">
        <v>80.443233385126902</v>
      </c>
      <c r="H53">
        <v>35.256410256410199</v>
      </c>
      <c r="I53">
        <v>71.890922685704595</v>
      </c>
    </row>
    <row r="54" spans="1:9">
      <c r="A54" t="s">
        <v>307</v>
      </c>
      <c r="B54" t="s">
        <v>51</v>
      </c>
      <c r="C54">
        <v>489</v>
      </c>
      <c r="D54">
        <v>71</v>
      </c>
      <c r="E54">
        <v>3.70335290883791</v>
      </c>
      <c r="F54">
        <v>86.878513415564598</v>
      </c>
      <c r="G54">
        <v>90.593540053049693</v>
      </c>
      <c r="H54">
        <v>45.512820512820497</v>
      </c>
      <c r="I54">
        <v>80.4628881537583</v>
      </c>
    </row>
    <row r="55" spans="1:9">
      <c r="A55" t="s">
        <v>308</v>
      </c>
      <c r="B55" t="s">
        <v>69</v>
      </c>
      <c r="C55">
        <v>1941</v>
      </c>
      <c r="D55">
        <v>85</v>
      </c>
      <c r="E55">
        <v>3.1476095451469499</v>
      </c>
      <c r="F55">
        <v>70.849800342725004</v>
      </c>
      <c r="G55">
        <v>76.998627573171603</v>
      </c>
      <c r="H55">
        <v>54.487179487179397</v>
      </c>
      <c r="I55">
        <v>70.651689786839199</v>
      </c>
    </row>
    <row r="56" spans="1:9">
      <c r="A56" t="s">
        <v>309</v>
      </c>
      <c r="B56" t="s">
        <v>54</v>
      </c>
      <c r="C56">
        <v>576</v>
      </c>
      <c r="D56">
        <v>33</v>
      </c>
      <c r="E56">
        <v>2.5832457957621302</v>
      </c>
      <c r="F56">
        <v>73.880743866565197</v>
      </c>
      <c r="G56">
        <v>63.192838280887699</v>
      </c>
      <c r="H56">
        <v>21.1538461538461</v>
      </c>
      <c r="I56">
        <v>57.9914115311826</v>
      </c>
    </row>
    <row r="57" spans="1:9">
      <c r="A57" t="s">
        <v>310</v>
      </c>
      <c r="B57" t="s">
        <v>73</v>
      </c>
      <c r="C57">
        <v>283</v>
      </c>
      <c r="D57">
        <v>81</v>
      </c>
      <c r="E57">
        <v>3.9430150199224898</v>
      </c>
      <c r="F57">
        <v>89.727173557806395</v>
      </c>
      <c r="G57">
        <v>96.456291887455095</v>
      </c>
      <c r="H57">
        <v>51.923076923076898</v>
      </c>
      <c r="I57">
        <v>85.530913395684806</v>
      </c>
    </row>
    <row r="58" spans="1:9">
      <c r="A58" t="s">
        <v>89</v>
      </c>
      <c r="B58" t="s">
        <v>51</v>
      </c>
      <c r="C58">
        <v>462</v>
      </c>
      <c r="D58">
        <v>61</v>
      </c>
      <c r="E58">
        <v>3.4809639396450498</v>
      </c>
      <c r="F58">
        <v>84.676982429016306</v>
      </c>
      <c r="G58">
        <v>85.153333709266093</v>
      </c>
      <c r="H58">
        <v>39.102564102564102</v>
      </c>
      <c r="I58">
        <v>75.800274403850807</v>
      </c>
    </row>
    <row r="59" spans="1:9">
      <c r="A59" t="s">
        <v>91</v>
      </c>
      <c r="B59" t="s">
        <v>63</v>
      </c>
      <c r="C59">
        <v>641</v>
      </c>
      <c r="D59">
        <v>34</v>
      </c>
      <c r="E59">
        <v>2.8234804762202899</v>
      </c>
      <c r="F59">
        <v>80.067833578293204</v>
      </c>
      <c r="G59">
        <v>69.069596635264304</v>
      </c>
      <c r="H59">
        <v>21.7948717948717</v>
      </c>
      <c r="I59">
        <v>62.9141227500944</v>
      </c>
    </row>
    <row r="60" spans="1:9">
      <c r="A60" t="s">
        <v>311</v>
      </c>
      <c r="B60" t="s">
        <v>98</v>
      </c>
      <c r="C60">
        <v>115</v>
      </c>
      <c r="D60">
        <v>25</v>
      </c>
      <c r="E60">
        <v>2.6836782302987801</v>
      </c>
      <c r="F60">
        <v>83.373151880087406</v>
      </c>
      <c r="G60">
        <v>65.649674019957502</v>
      </c>
      <c r="H60">
        <v>16.025641025641001</v>
      </c>
      <c r="I60">
        <v>61.041910779133197</v>
      </c>
    </row>
    <row r="61" spans="1:9">
      <c r="A61" t="s">
        <v>312</v>
      </c>
      <c r="B61" t="s">
        <v>98</v>
      </c>
      <c r="C61">
        <v>189</v>
      </c>
      <c r="D61">
        <v>23</v>
      </c>
      <c r="E61">
        <v>2.5916566131256999</v>
      </c>
      <c r="F61">
        <v>82.655442321002894</v>
      </c>
      <c r="G61">
        <v>63.398588512761798</v>
      </c>
      <c r="H61">
        <v>14.7435897435897</v>
      </c>
      <c r="I61">
        <v>59.444644901399698</v>
      </c>
    </row>
    <row r="62" spans="1:9">
      <c r="A62" t="s">
        <v>93</v>
      </c>
      <c r="B62" t="s">
        <v>263</v>
      </c>
      <c r="C62">
        <v>800</v>
      </c>
      <c r="D62">
        <v>31</v>
      </c>
      <c r="E62">
        <v>2.7340729652328699</v>
      </c>
      <c r="F62">
        <v>79.618030074832205</v>
      </c>
      <c r="G62">
        <v>66.882458890883299</v>
      </c>
      <c r="H62">
        <v>19.871794871794801</v>
      </c>
      <c r="I62">
        <v>61.300997442250299</v>
      </c>
    </row>
    <row r="63" spans="1:9">
      <c r="A63" t="s">
        <v>313</v>
      </c>
      <c r="B63" t="s">
        <v>263</v>
      </c>
      <c r="C63">
        <v>1698</v>
      </c>
      <c r="D63">
        <v>39</v>
      </c>
      <c r="E63">
        <v>1.79342662510128</v>
      </c>
      <c r="F63">
        <v>48.953089870780197</v>
      </c>
      <c r="G63">
        <v>43.871829337566801</v>
      </c>
      <c r="H63">
        <v>25</v>
      </c>
      <c r="I63">
        <v>41.621841630017499</v>
      </c>
    </row>
    <row r="64" spans="1:9">
      <c r="A64" t="s">
        <v>314</v>
      </c>
      <c r="B64" t="s">
        <v>98</v>
      </c>
      <c r="C64">
        <v>490</v>
      </c>
      <c r="D64">
        <v>57</v>
      </c>
      <c r="E64">
        <v>3.11835152026145</v>
      </c>
      <c r="F64">
        <v>77.128666289003903</v>
      </c>
      <c r="G64">
        <v>76.282901010085396</v>
      </c>
      <c r="H64">
        <v>36.538461538461497</v>
      </c>
      <c r="I64">
        <v>68.587742699436205</v>
      </c>
    </row>
    <row r="65" spans="1:9">
      <c r="A65" t="s">
        <v>315</v>
      </c>
      <c r="B65" t="s">
        <v>98</v>
      </c>
      <c r="C65">
        <v>614</v>
      </c>
      <c r="D65">
        <v>70</v>
      </c>
      <c r="E65">
        <v>3.2912115516015401</v>
      </c>
      <c r="F65">
        <v>77.467700070059394</v>
      </c>
      <c r="G65">
        <v>80.511502107055605</v>
      </c>
      <c r="H65">
        <v>44.871794871794798</v>
      </c>
      <c r="I65">
        <v>72.4704200489046</v>
      </c>
    </row>
    <row r="66" spans="1:9">
      <c r="A66" t="s">
        <v>316</v>
      </c>
      <c r="B66" t="s">
        <v>51</v>
      </c>
      <c r="C66">
        <v>198</v>
      </c>
      <c r="D66">
        <v>38</v>
      </c>
      <c r="E66">
        <v>3.1268284876597701</v>
      </c>
      <c r="F66">
        <v>85.958884555877304</v>
      </c>
      <c r="G66">
        <v>76.490269441999004</v>
      </c>
      <c r="H66">
        <v>24.358974358974301</v>
      </c>
      <c r="I66">
        <v>68.904594959557599</v>
      </c>
    </row>
    <row r="67" spans="1:9">
      <c r="A67" t="s">
        <v>317</v>
      </c>
      <c r="B67" t="s">
        <v>98</v>
      </c>
      <c r="C67">
        <v>629</v>
      </c>
      <c r="D67">
        <v>17</v>
      </c>
      <c r="E67">
        <v>1.8814852785413201</v>
      </c>
      <c r="F67">
        <v>66.408175102255598</v>
      </c>
      <c r="G67">
        <v>46.025970556028597</v>
      </c>
      <c r="H67">
        <v>10.8974358974358</v>
      </c>
      <c r="I67">
        <v>45.114924988178203</v>
      </c>
    </row>
    <row r="68" spans="1:9">
      <c r="A68" t="s">
        <v>318</v>
      </c>
      <c r="B68" t="s">
        <v>108</v>
      </c>
      <c r="C68">
        <v>265</v>
      </c>
      <c r="D68">
        <v>29</v>
      </c>
      <c r="E68">
        <v>2.4974664533197002</v>
      </c>
      <c r="F68">
        <v>74.168311292380196</v>
      </c>
      <c r="G68">
        <v>61.094454873587502</v>
      </c>
      <c r="H68">
        <v>18.589743589743499</v>
      </c>
      <c r="I68">
        <v>56.5156695424565</v>
      </c>
    </row>
    <row r="69" spans="1:9">
      <c r="A69" t="s">
        <v>319</v>
      </c>
      <c r="B69" t="s">
        <v>51</v>
      </c>
      <c r="C69">
        <v>361</v>
      </c>
      <c r="D69">
        <v>57</v>
      </c>
      <c r="E69">
        <v>3.3323348938085702</v>
      </c>
      <c r="F69">
        <v>82.421287118462999</v>
      </c>
      <c r="G69">
        <v>81.517484858647407</v>
      </c>
      <c r="H69">
        <v>36.538461538461497</v>
      </c>
      <c r="I69">
        <v>72.792820872554898</v>
      </c>
    </row>
    <row r="70" spans="1:9">
      <c r="A70" t="s">
        <v>320</v>
      </c>
      <c r="B70" t="s">
        <v>63</v>
      </c>
      <c r="C70">
        <v>1174</v>
      </c>
      <c r="D70">
        <v>56</v>
      </c>
      <c r="E70">
        <v>2.96620417229907</v>
      </c>
      <c r="F70">
        <v>73.688074985501501</v>
      </c>
      <c r="G70">
        <v>72.5609854376588</v>
      </c>
      <c r="H70">
        <v>35.897435897435898</v>
      </c>
      <c r="I70">
        <v>65.566402393966996</v>
      </c>
    </row>
    <row r="71" spans="1:9">
      <c r="A71" t="s">
        <v>321</v>
      </c>
      <c r="B71" t="s">
        <v>63</v>
      </c>
      <c r="C71">
        <v>1600</v>
      </c>
      <c r="D71">
        <v>59</v>
      </c>
      <c r="E71">
        <v>2.7772387889182699</v>
      </c>
      <c r="F71">
        <v>68.110687568770899</v>
      </c>
      <c r="G71">
        <v>67.9384059942861</v>
      </c>
      <c r="H71">
        <v>37.820512820512803</v>
      </c>
      <c r="I71">
        <v>61.9665118318769</v>
      </c>
    </row>
    <row r="72" spans="1:9">
      <c r="A72" t="s">
        <v>322</v>
      </c>
      <c r="B72" t="s">
        <v>263</v>
      </c>
      <c r="C72">
        <v>1007</v>
      </c>
      <c r="D72">
        <v>98</v>
      </c>
      <c r="E72">
        <v>3.8257920178887499</v>
      </c>
      <c r="F72">
        <v>83.442075340478894</v>
      </c>
      <c r="G72">
        <v>93.588715669012799</v>
      </c>
      <c r="H72">
        <v>62.820512820512803</v>
      </c>
      <c r="I72">
        <v>84.391083000752602</v>
      </c>
    </row>
    <row r="73" spans="1:9">
      <c r="A73" t="s">
        <v>103</v>
      </c>
      <c r="B73" t="s">
        <v>63</v>
      </c>
      <c r="C73">
        <v>866</v>
      </c>
      <c r="D73">
        <v>19</v>
      </c>
      <c r="E73">
        <v>2.10101061064911</v>
      </c>
      <c r="F73">
        <v>71.355209787499206</v>
      </c>
      <c r="G73">
        <v>51.396124969210597</v>
      </c>
      <c r="H73">
        <v>12.179487179487101</v>
      </c>
      <c r="I73">
        <v>49.540522856752503</v>
      </c>
    </row>
    <row r="74" spans="1:9">
      <c r="A74" t="s">
        <v>104</v>
      </c>
      <c r="B74" t="s">
        <v>73</v>
      </c>
      <c r="C74">
        <v>401</v>
      </c>
      <c r="D74">
        <v>26</v>
      </c>
      <c r="E74">
        <v>2.26230739130092</v>
      </c>
      <c r="F74">
        <v>69.436475098271103</v>
      </c>
      <c r="G74">
        <v>55.341859204674698</v>
      </c>
      <c r="H74">
        <v>16.6666666666666</v>
      </c>
      <c r="I74">
        <v>51.835205465152001</v>
      </c>
    </row>
    <row r="75" spans="1:9">
      <c r="A75" t="s">
        <v>323</v>
      </c>
      <c r="B75" t="s">
        <v>73</v>
      </c>
      <c r="C75">
        <v>304</v>
      </c>
      <c r="D75">
        <v>40</v>
      </c>
      <c r="E75">
        <v>2.57904049166789</v>
      </c>
      <c r="F75">
        <v>69.9139270813438</v>
      </c>
      <c r="G75">
        <v>63.0899657234309</v>
      </c>
      <c r="H75">
        <v>25.6410256410256</v>
      </c>
      <c r="I75">
        <v>57.647366114323702</v>
      </c>
    </row>
    <row r="76" spans="1:9">
      <c r="A76" t="s">
        <v>324</v>
      </c>
      <c r="B76" t="s">
        <v>51</v>
      </c>
      <c r="C76">
        <v>239</v>
      </c>
      <c r="D76">
        <v>41</v>
      </c>
      <c r="E76">
        <v>3.0306149914849301</v>
      </c>
      <c r="F76">
        <v>81.609160588460696</v>
      </c>
      <c r="G76">
        <v>74.136639789648598</v>
      </c>
      <c r="H76">
        <v>26.282051282051199</v>
      </c>
      <c r="I76">
        <v>66.807478327772699</v>
      </c>
    </row>
    <row r="77" spans="1:9">
      <c r="A77" t="s">
        <v>325</v>
      </c>
      <c r="B77" t="s">
        <v>108</v>
      </c>
      <c r="C77">
        <v>580</v>
      </c>
      <c r="D77">
        <v>71</v>
      </c>
      <c r="E77">
        <v>3.35401954691805</v>
      </c>
      <c r="F77">
        <v>78.683355158399706</v>
      </c>
      <c r="G77">
        <v>82.047947263491906</v>
      </c>
      <c r="H77">
        <v>45.512820512820497</v>
      </c>
      <c r="I77">
        <v>73.731544281829997</v>
      </c>
    </row>
    <row r="78" spans="1:9">
      <c r="A78" t="s">
        <v>326</v>
      </c>
      <c r="B78" t="s">
        <v>98</v>
      </c>
      <c r="C78">
        <v>101</v>
      </c>
      <c r="D78">
        <v>11</v>
      </c>
      <c r="E78">
        <v>1.3960244747953501</v>
      </c>
      <c r="F78">
        <v>58.2187425210683</v>
      </c>
      <c r="G78">
        <v>34.150350313790597</v>
      </c>
      <c r="H78">
        <v>7.0512820512820502</v>
      </c>
      <c r="I78">
        <v>35.951054323472199</v>
      </c>
    </row>
    <row r="79" spans="1:9">
      <c r="A79" t="s">
        <v>327</v>
      </c>
      <c r="B79" t="s">
        <v>98</v>
      </c>
      <c r="C79">
        <v>263</v>
      </c>
      <c r="D79">
        <v>34</v>
      </c>
      <c r="E79">
        <v>2.8280618253214902</v>
      </c>
      <c r="F79">
        <v>80.197750785261206</v>
      </c>
      <c r="G79">
        <v>69.181668221071305</v>
      </c>
      <c r="H79">
        <v>21.7948717948717</v>
      </c>
      <c r="I79">
        <v>63.009133705088402</v>
      </c>
    </row>
    <row r="80" spans="1:9">
      <c r="A80" t="s">
        <v>328</v>
      </c>
      <c r="B80" t="s">
        <v>98</v>
      </c>
      <c r="C80">
        <v>390</v>
      </c>
      <c r="D80">
        <v>37</v>
      </c>
      <c r="E80">
        <v>2.6265583583210601</v>
      </c>
      <c r="F80">
        <v>72.739353866886105</v>
      </c>
      <c r="G80">
        <v>64.252374994663498</v>
      </c>
      <c r="H80">
        <v>23.717948717948701</v>
      </c>
      <c r="I80">
        <v>58.691583400987298</v>
      </c>
    </row>
    <row r="81" spans="1:9">
      <c r="A81" t="s">
        <v>329</v>
      </c>
      <c r="B81" t="s">
        <v>73</v>
      </c>
      <c r="C81">
        <v>252</v>
      </c>
      <c r="D81">
        <v>18</v>
      </c>
      <c r="E81">
        <v>1.8753083486386199</v>
      </c>
      <c r="F81">
        <v>64.881216179735304</v>
      </c>
      <c r="G81">
        <v>45.8748669587427</v>
      </c>
      <c r="H81">
        <v>11.538461538461499</v>
      </c>
      <c r="I81">
        <v>44.7094906409842</v>
      </c>
    </row>
    <row r="82" spans="1:9">
      <c r="A82" t="s">
        <v>330</v>
      </c>
      <c r="B82" t="s">
        <v>51</v>
      </c>
      <c r="C82">
        <v>233</v>
      </c>
      <c r="D82">
        <v>34</v>
      </c>
      <c r="E82">
        <v>2.85421887021274</v>
      </c>
      <c r="F82">
        <v>80.939508319939094</v>
      </c>
      <c r="G82">
        <v>69.8215368353667</v>
      </c>
      <c r="H82">
        <v>21.7948717948717</v>
      </c>
      <c r="I82">
        <v>63.551595272639403</v>
      </c>
    </row>
    <row r="83" spans="1:9">
      <c r="A83" t="s">
        <v>331</v>
      </c>
      <c r="B83" t="s">
        <v>134</v>
      </c>
      <c r="C83">
        <v>1412</v>
      </c>
      <c r="D83">
        <v>65</v>
      </c>
      <c r="E83">
        <v>3.1308502743373401</v>
      </c>
      <c r="F83">
        <v>75.001433070574095</v>
      </c>
      <c r="G83">
        <v>76.5886526912943</v>
      </c>
      <c r="H83">
        <v>41.6666666666666</v>
      </c>
      <c r="I83">
        <v>69.128089600152705</v>
      </c>
    </row>
    <row r="84" spans="1:9">
      <c r="A84" t="s">
        <v>332</v>
      </c>
      <c r="B84" t="s">
        <v>51</v>
      </c>
      <c r="C84">
        <v>75</v>
      </c>
      <c r="D84">
        <v>7</v>
      </c>
      <c r="E84">
        <v>1.4419730416990899</v>
      </c>
      <c r="F84">
        <v>74.102755587103005</v>
      </c>
      <c r="G84">
        <v>35.274370475693097</v>
      </c>
      <c r="H84">
        <v>4.4871794871794801</v>
      </c>
      <c r="I84">
        <v>40.765447811413303</v>
      </c>
    </row>
    <row r="85" spans="1:9">
      <c r="A85" t="s">
        <v>333</v>
      </c>
      <c r="B85" t="s">
        <v>57</v>
      </c>
      <c r="C85">
        <v>181</v>
      </c>
      <c r="D85">
        <v>15</v>
      </c>
      <c r="E85">
        <v>2.4378486467824598</v>
      </c>
      <c r="F85">
        <v>90.022284143411696</v>
      </c>
      <c r="G85">
        <v>59.636049942337898</v>
      </c>
      <c r="H85">
        <v>9.6153846153846096</v>
      </c>
      <c r="I85">
        <v>58.747787137269398</v>
      </c>
    </row>
    <row r="86" spans="1:9">
      <c r="A86" t="s">
        <v>334</v>
      </c>
      <c r="B86" t="s">
        <v>134</v>
      </c>
      <c r="C86">
        <v>822</v>
      </c>
      <c r="D86">
        <v>48</v>
      </c>
      <c r="E86">
        <v>2.8737731434778899</v>
      </c>
      <c r="F86">
        <v>74.234666073408803</v>
      </c>
      <c r="G86">
        <v>70.299884668225701</v>
      </c>
      <c r="H86">
        <v>30.769230769230699</v>
      </c>
      <c r="I86">
        <v>63.574188309981601</v>
      </c>
    </row>
    <row r="87" spans="1:9">
      <c r="A87" t="s">
        <v>335</v>
      </c>
      <c r="B87" t="s">
        <v>134</v>
      </c>
      <c r="C87">
        <v>1447</v>
      </c>
      <c r="D87">
        <v>58</v>
      </c>
      <c r="E87">
        <v>2.95806279419081</v>
      </c>
      <c r="F87">
        <v>72.850740338127395</v>
      </c>
      <c r="G87">
        <v>72.361826383176805</v>
      </c>
      <c r="H87">
        <v>37.179487179487097</v>
      </c>
      <c r="I87">
        <v>65.472032728924106</v>
      </c>
    </row>
    <row r="88" spans="1:9">
      <c r="A88" t="s">
        <v>336</v>
      </c>
      <c r="B88" t="s">
        <v>134</v>
      </c>
      <c r="C88">
        <v>675</v>
      </c>
      <c r="D88">
        <v>65</v>
      </c>
      <c r="E88">
        <v>3.3728268177036398</v>
      </c>
      <c r="F88">
        <v>80.798129153646201</v>
      </c>
      <c r="G88">
        <v>82.508021493829702</v>
      </c>
      <c r="H88">
        <v>41.6666666666666</v>
      </c>
      <c r="I88">
        <v>73.826782826341997</v>
      </c>
    </row>
    <row r="89" spans="1:9">
      <c r="A89" t="s">
        <v>337</v>
      </c>
      <c r="B89" t="s">
        <v>54</v>
      </c>
      <c r="C89">
        <v>11407</v>
      </c>
      <c r="D89">
        <v>68</v>
      </c>
      <c r="E89">
        <v>2.2840508436256699</v>
      </c>
      <c r="F89">
        <v>54.130742333372297</v>
      </c>
      <c r="G89">
        <v>55.8737599896021</v>
      </c>
      <c r="H89">
        <v>43.589743589743499</v>
      </c>
      <c r="I89">
        <v>52.894051412761399</v>
      </c>
    </row>
    <row r="90" spans="1:9">
      <c r="A90" t="s">
        <v>338</v>
      </c>
      <c r="B90" t="s">
        <v>73</v>
      </c>
      <c r="C90">
        <v>145</v>
      </c>
      <c r="D90">
        <v>41</v>
      </c>
      <c r="E90">
        <v>2.9211568690937901</v>
      </c>
      <c r="F90">
        <v>78.661644815910194</v>
      </c>
      <c r="G90">
        <v>71.459012504571703</v>
      </c>
      <c r="H90">
        <v>26.282051282051199</v>
      </c>
      <c r="I90">
        <v>64.584409953469105</v>
      </c>
    </row>
    <row r="91" spans="1:9">
      <c r="A91" t="s">
        <v>339</v>
      </c>
      <c r="B91" t="s">
        <v>73</v>
      </c>
      <c r="C91">
        <v>70</v>
      </c>
      <c r="D91">
        <v>37</v>
      </c>
      <c r="E91">
        <v>3.1977521047662201</v>
      </c>
      <c r="F91">
        <v>88.557873153769606</v>
      </c>
      <c r="G91">
        <v>78.225243587105794</v>
      </c>
      <c r="H91">
        <v>23.717948717948701</v>
      </c>
      <c r="I91">
        <v>70.423573483273501</v>
      </c>
    </row>
    <row r="92" spans="1:9">
      <c r="A92" t="s">
        <v>340</v>
      </c>
      <c r="B92" t="s">
        <v>73</v>
      </c>
      <c r="C92">
        <v>293</v>
      </c>
      <c r="D92">
        <v>78</v>
      </c>
      <c r="E92">
        <v>3.6885750069968002</v>
      </c>
      <c r="F92">
        <v>84.664253539283095</v>
      </c>
      <c r="G92">
        <v>90.232034553763498</v>
      </c>
      <c r="H92">
        <v>50</v>
      </c>
      <c r="I92">
        <v>80.515293338666694</v>
      </c>
    </row>
    <row r="93" spans="1:9">
      <c r="A93" t="s">
        <v>341</v>
      </c>
      <c r="B93" t="s">
        <v>63</v>
      </c>
      <c r="C93">
        <v>970</v>
      </c>
      <c r="D93">
        <v>69</v>
      </c>
      <c r="E93">
        <v>3.28139467965272</v>
      </c>
      <c r="F93">
        <v>77.499105799296402</v>
      </c>
      <c r="G93">
        <v>80.271356162560707</v>
      </c>
      <c r="H93">
        <v>44.230769230769198</v>
      </c>
      <c r="I93">
        <v>72.231563667223099</v>
      </c>
    </row>
    <row r="94" spans="1:9">
      <c r="A94" t="s">
        <v>342</v>
      </c>
      <c r="B94" t="s">
        <v>63</v>
      </c>
      <c r="C94">
        <v>924</v>
      </c>
      <c r="D94">
        <v>51</v>
      </c>
      <c r="E94">
        <v>2.96984403939596</v>
      </c>
      <c r="F94">
        <v>75.533462488217793</v>
      </c>
      <c r="G94">
        <v>72.650025951416694</v>
      </c>
      <c r="H94">
        <v>32.692307692307601</v>
      </c>
      <c r="I94">
        <v>65.523513260635198</v>
      </c>
    </row>
    <row r="95" spans="1:9">
      <c r="A95" t="s">
        <v>343</v>
      </c>
      <c r="B95" t="s">
        <v>108</v>
      </c>
      <c r="C95">
        <v>223</v>
      </c>
      <c r="D95">
        <v>52</v>
      </c>
      <c r="E95">
        <v>3.4077319442154201</v>
      </c>
      <c r="F95">
        <v>86.244539363389805</v>
      </c>
      <c r="G95">
        <v>83.361890691430503</v>
      </c>
      <c r="H95">
        <v>33.3333333333333</v>
      </c>
      <c r="I95">
        <v>74.2209738213988</v>
      </c>
    </row>
    <row r="96" spans="1:9">
      <c r="A96" t="s">
        <v>344</v>
      </c>
      <c r="B96" t="s">
        <v>108</v>
      </c>
      <c r="C96">
        <v>170</v>
      </c>
      <c r="D96">
        <v>38</v>
      </c>
      <c r="E96">
        <v>2.8136952772891402</v>
      </c>
      <c r="F96">
        <v>77.350615318505206</v>
      </c>
      <c r="G96">
        <v>68.830225494269101</v>
      </c>
      <c r="H96">
        <v>24.358974358974301</v>
      </c>
      <c r="I96">
        <v>62.492092214480998</v>
      </c>
    </row>
    <row r="97" spans="1:9">
      <c r="A97" t="s">
        <v>121</v>
      </c>
      <c r="B97" t="s">
        <v>63</v>
      </c>
      <c r="C97">
        <v>303</v>
      </c>
      <c r="D97">
        <v>18</v>
      </c>
      <c r="E97">
        <v>2.2983148908093001</v>
      </c>
      <c r="F97">
        <v>79.516238163155606</v>
      </c>
      <c r="G97">
        <v>56.222695281932701</v>
      </c>
      <c r="H97">
        <v>11.538461538461499</v>
      </c>
      <c r="I97">
        <v>54.273911397605303</v>
      </c>
    </row>
    <row r="98" spans="1:9">
      <c r="A98" t="s">
        <v>345</v>
      </c>
      <c r="B98" t="s">
        <v>63</v>
      </c>
      <c r="C98">
        <v>497</v>
      </c>
      <c r="D98">
        <v>17</v>
      </c>
      <c r="E98">
        <v>2.1862681624357001</v>
      </c>
      <c r="F98">
        <v>77.165673634224007</v>
      </c>
      <c r="G98">
        <v>53.481744034617797</v>
      </c>
      <c r="H98">
        <v>10.8974358974358</v>
      </c>
      <c r="I98">
        <v>52.070061287063197</v>
      </c>
    </row>
    <row r="99" spans="1:9">
      <c r="A99" t="s">
        <v>346</v>
      </c>
      <c r="B99" t="s">
        <v>98</v>
      </c>
      <c r="C99">
        <v>93</v>
      </c>
      <c r="D99">
        <v>26</v>
      </c>
      <c r="E99">
        <v>2.83828631092174</v>
      </c>
      <c r="F99">
        <v>87.114862245467094</v>
      </c>
      <c r="G99">
        <v>69.431785444179496</v>
      </c>
      <c r="H99">
        <v>16.6666666666666</v>
      </c>
      <c r="I99">
        <v>64.183684729063202</v>
      </c>
    </row>
    <row r="100" spans="1:9">
      <c r="A100" t="s">
        <v>347</v>
      </c>
      <c r="B100" t="s">
        <v>54</v>
      </c>
      <c r="C100">
        <v>441</v>
      </c>
      <c r="D100">
        <v>11</v>
      </c>
      <c r="E100">
        <v>1.79529411778544</v>
      </c>
      <c r="F100">
        <v>74.869579924994596</v>
      </c>
      <c r="G100">
        <v>43.917513013264497</v>
      </c>
      <c r="H100">
        <v>7.0512820512820502</v>
      </c>
      <c r="I100">
        <v>45.829886894387002</v>
      </c>
    </row>
    <row r="101" spans="1:9">
      <c r="A101" t="s">
        <v>348</v>
      </c>
      <c r="B101" t="s">
        <v>54</v>
      </c>
      <c r="C101">
        <v>960</v>
      </c>
      <c r="D101">
        <v>93</v>
      </c>
      <c r="E101">
        <v>3.5748574529855</v>
      </c>
      <c r="F101">
        <v>78.869916885123502</v>
      </c>
      <c r="G101">
        <v>87.450210612687798</v>
      </c>
      <c r="H101">
        <v>59.615384615384599</v>
      </c>
      <c r="I101">
        <v>79.309157294957899</v>
      </c>
    </row>
    <row r="102" spans="1:9">
      <c r="A102" t="s">
        <v>349</v>
      </c>
      <c r="B102" t="s">
        <v>98</v>
      </c>
      <c r="C102">
        <v>257</v>
      </c>
      <c r="D102">
        <v>30</v>
      </c>
      <c r="E102">
        <v>2.8975812070246998</v>
      </c>
      <c r="F102">
        <v>85.192974175719996</v>
      </c>
      <c r="G102">
        <v>70.882291155429698</v>
      </c>
      <c r="H102">
        <v>19.230769230769202</v>
      </c>
      <c r="I102">
        <v>64.845191676584705</v>
      </c>
    </row>
    <row r="103" spans="1:9">
      <c r="A103" t="s">
        <v>350</v>
      </c>
      <c r="B103" t="s">
        <v>263</v>
      </c>
      <c r="C103">
        <v>4238</v>
      </c>
      <c r="D103">
        <v>79</v>
      </c>
      <c r="E103">
        <v>3.0314648193223399</v>
      </c>
      <c r="F103">
        <v>69.378670296082205</v>
      </c>
      <c r="G103">
        <v>74.157428764969396</v>
      </c>
      <c r="H103">
        <v>50.6410256410256</v>
      </c>
      <c r="I103">
        <v>68.020520599514498</v>
      </c>
    </row>
    <row r="104" spans="1:9">
      <c r="A104" t="s">
        <v>351</v>
      </c>
      <c r="B104" t="s">
        <v>263</v>
      </c>
      <c r="C104">
        <v>1607</v>
      </c>
      <c r="D104">
        <v>32</v>
      </c>
      <c r="E104">
        <v>2.4420571246074898</v>
      </c>
      <c r="F104">
        <v>70.462874064775704</v>
      </c>
      <c r="G104">
        <v>59.739000137414898</v>
      </c>
      <c r="H104">
        <v>20.5128205128205</v>
      </c>
      <c r="I104">
        <v>55.1109263907043</v>
      </c>
    </row>
    <row r="105" spans="1:9">
      <c r="A105" t="s">
        <v>352</v>
      </c>
      <c r="B105" t="s">
        <v>263</v>
      </c>
      <c r="C105">
        <v>398</v>
      </c>
      <c r="D105">
        <v>25</v>
      </c>
      <c r="E105">
        <v>1.9470541950384599</v>
      </c>
      <c r="F105">
        <v>60.488639542911997</v>
      </c>
      <c r="G105">
        <v>47.629954947778799</v>
      </c>
      <c r="H105">
        <v>16.025641025641001</v>
      </c>
      <c r="I105">
        <v>45.166697541891203</v>
      </c>
    </row>
    <row r="106" spans="1:9">
      <c r="A106" t="s">
        <v>353</v>
      </c>
      <c r="B106" t="s">
        <v>54</v>
      </c>
      <c r="C106">
        <v>3326</v>
      </c>
      <c r="D106">
        <v>92</v>
      </c>
      <c r="E106">
        <v>2.9384361983246698</v>
      </c>
      <c r="F106">
        <v>64.983936074302804</v>
      </c>
      <c r="G106">
        <v>71.881709353427595</v>
      </c>
      <c r="H106">
        <v>58.9743589743589</v>
      </c>
      <c r="I106">
        <v>67.230907293876399</v>
      </c>
    </row>
    <row r="107" spans="1:9">
      <c r="A107" t="s">
        <v>354</v>
      </c>
      <c r="B107" t="s">
        <v>98</v>
      </c>
      <c r="C107">
        <v>670</v>
      </c>
      <c r="D107">
        <v>81</v>
      </c>
      <c r="E107">
        <v>3.8207882382880101</v>
      </c>
      <c r="F107">
        <v>86.945783278104898</v>
      </c>
      <c r="G107">
        <v>93.466310346367294</v>
      </c>
      <c r="H107">
        <v>51.923076923076898</v>
      </c>
      <c r="I107">
        <v>83.201505541230503</v>
      </c>
    </row>
    <row r="108" spans="1:9">
      <c r="A108" t="s">
        <v>355</v>
      </c>
      <c r="B108" t="s">
        <v>57</v>
      </c>
      <c r="C108">
        <v>1225</v>
      </c>
      <c r="D108">
        <v>74</v>
      </c>
      <c r="E108">
        <v>3.5512109953345399</v>
      </c>
      <c r="F108">
        <v>82.508301301986904</v>
      </c>
      <c r="G108">
        <v>86.871757421472097</v>
      </c>
      <c r="H108">
        <v>47.435897435897402</v>
      </c>
      <c r="I108">
        <v>77.675548588511603</v>
      </c>
    </row>
    <row r="109" spans="1:9">
      <c r="A109" t="s">
        <v>356</v>
      </c>
      <c r="B109" t="s">
        <v>51</v>
      </c>
      <c r="C109">
        <v>139</v>
      </c>
      <c r="D109">
        <v>18</v>
      </c>
      <c r="E109">
        <v>2.2364045434020299</v>
      </c>
      <c r="F109">
        <v>77.374287141175998</v>
      </c>
      <c r="G109">
        <v>54.708208902804898</v>
      </c>
      <c r="H109">
        <v>11.538461538461499</v>
      </c>
      <c r="I109">
        <v>52.874082901447501</v>
      </c>
    </row>
    <row r="110" spans="1:9">
      <c r="A110" t="s">
        <v>357</v>
      </c>
      <c r="B110" t="s">
        <v>54</v>
      </c>
      <c r="C110">
        <v>303</v>
      </c>
      <c r="D110">
        <v>49</v>
      </c>
      <c r="E110">
        <v>3.3114339521475098</v>
      </c>
      <c r="F110">
        <v>85.087020943775997</v>
      </c>
      <c r="G110">
        <v>81.006194052146398</v>
      </c>
      <c r="H110">
        <v>31.410256410256402</v>
      </c>
      <c r="I110">
        <v>72.311254591257295</v>
      </c>
    </row>
    <row r="111" spans="1:9">
      <c r="A111" t="s">
        <v>358</v>
      </c>
      <c r="B111" t="s">
        <v>134</v>
      </c>
      <c r="C111">
        <v>1258</v>
      </c>
      <c r="D111">
        <v>87</v>
      </c>
      <c r="E111">
        <v>3.5753191976742</v>
      </c>
      <c r="F111">
        <v>80.058055443185395</v>
      </c>
      <c r="G111">
        <v>87.461506075739806</v>
      </c>
      <c r="H111">
        <v>55.769230769230703</v>
      </c>
      <c r="I111">
        <v>78.902015824671693</v>
      </c>
    </row>
    <row r="112" spans="1:9">
      <c r="A112" t="s">
        <v>359</v>
      </c>
      <c r="B112" t="s">
        <v>134</v>
      </c>
      <c r="C112">
        <v>912</v>
      </c>
      <c r="D112">
        <v>67</v>
      </c>
      <c r="E112">
        <v>3.5166833587358202</v>
      </c>
      <c r="F112">
        <v>83.637109226909402</v>
      </c>
      <c r="G112">
        <v>86.027122598342402</v>
      </c>
      <c r="H112">
        <v>42.948717948717899</v>
      </c>
      <c r="I112">
        <v>76.694437656987603</v>
      </c>
    </row>
    <row r="113" spans="1:9">
      <c r="A113" t="s">
        <v>360</v>
      </c>
      <c r="B113" t="s">
        <v>69</v>
      </c>
      <c r="C113">
        <v>780</v>
      </c>
      <c r="D113">
        <v>64</v>
      </c>
      <c r="E113">
        <v>3.2268966339735998</v>
      </c>
      <c r="F113">
        <v>77.590462854916694</v>
      </c>
      <c r="G113">
        <v>78.938193753906106</v>
      </c>
      <c r="H113">
        <v>41.025641025641001</v>
      </c>
      <c r="I113">
        <v>70.951363938556199</v>
      </c>
    </row>
    <row r="114" spans="1:9">
      <c r="A114" t="s">
        <v>361</v>
      </c>
      <c r="B114" t="s">
        <v>69</v>
      </c>
      <c r="C114">
        <v>1359</v>
      </c>
      <c r="D114">
        <v>87</v>
      </c>
      <c r="E114">
        <v>3.6034099668847901</v>
      </c>
      <c r="F114">
        <v>80.687060081531001</v>
      </c>
      <c r="G114">
        <v>88.148678561928605</v>
      </c>
      <c r="H114">
        <v>55.769230769230703</v>
      </c>
      <c r="I114">
        <v>79.434303459269799</v>
      </c>
    </row>
    <row r="115" spans="1:9">
      <c r="A115" t="s">
        <v>362</v>
      </c>
      <c r="B115" t="s">
        <v>57</v>
      </c>
      <c r="C115">
        <v>277</v>
      </c>
      <c r="D115">
        <v>22</v>
      </c>
      <c r="E115">
        <v>2.3045270570151</v>
      </c>
      <c r="F115">
        <v>74.555011514361894</v>
      </c>
      <c r="G115">
        <v>56.3746608498478</v>
      </c>
      <c r="H115">
        <v>14.1025641025641</v>
      </c>
      <c r="I115">
        <v>53.374346699745303</v>
      </c>
    </row>
    <row r="116" spans="1:9">
      <c r="A116" t="s">
        <v>363</v>
      </c>
      <c r="B116" t="s">
        <v>263</v>
      </c>
      <c r="C116">
        <v>1906</v>
      </c>
      <c r="D116">
        <v>105</v>
      </c>
      <c r="E116">
        <v>3.4996778708868401</v>
      </c>
      <c r="F116">
        <v>75.197844579152601</v>
      </c>
      <c r="G116">
        <v>85.6111246142206</v>
      </c>
      <c r="H116">
        <v>67.307692307692307</v>
      </c>
      <c r="I116">
        <v>78.826454142394596</v>
      </c>
    </row>
    <row r="117" spans="1:9">
      <c r="A117" t="s">
        <v>364</v>
      </c>
      <c r="B117" t="s">
        <v>73</v>
      </c>
      <c r="C117">
        <v>475</v>
      </c>
      <c r="D117">
        <v>109</v>
      </c>
      <c r="E117">
        <v>3.8194165944122598</v>
      </c>
      <c r="F117">
        <v>81.414056051571905</v>
      </c>
      <c r="G117">
        <v>93.432756408232095</v>
      </c>
      <c r="H117">
        <v>69.871794871794805</v>
      </c>
      <c r="I117">
        <v>85.1149539939466</v>
      </c>
    </row>
    <row r="118" spans="1:9">
      <c r="A118" t="s">
        <v>365</v>
      </c>
      <c r="B118" t="s">
        <v>51</v>
      </c>
      <c r="C118">
        <v>252</v>
      </c>
      <c r="D118">
        <v>32</v>
      </c>
      <c r="E118">
        <v>2.8646583784792199</v>
      </c>
      <c r="F118">
        <v>82.656568729460005</v>
      </c>
      <c r="G118">
        <v>70.076914066096293</v>
      </c>
      <c r="H118">
        <v>20.5128205128205</v>
      </c>
      <c r="I118">
        <v>63.937991754450302</v>
      </c>
    </row>
    <row r="119" spans="1:9">
      <c r="A119" t="s">
        <v>366</v>
      </c>
      <c r="B119" t="s">
        <v>134</v>
      </c>
      <c r="C119">
        <v>736</v>
      </c>
      <c r="D119">
        <v>73</v>
      </c>
      <c r="E119">
        <v>3.6113876593596599</v>
      </c>
      <c r="F119">
        <v>84.172515995001007</v>
      </c>
      <c r="G119">
        <v>88.3438334446911</v>
      </c>
      <c r="H119">
        <v>46.794871794871703</v>
      </c>
      <c r="I119">
        <v>78.782645879820194</v>
      </c>
    </row>
    <row r="120" spans="1:9">
      <c r="A120" t="s">
        <v>367</v>
      </c>
      <c r="B120" t="s">
        <v>73</v>
      </c>
      <c r="C120">
        <v>143</v>
      </c>
      <c r="D120">
        <v>47</v>
      </c>
      <c r="E120">
        <v>3.24596311297962</v>
      </c>
      <c r="F120">
        <v>84.307498017424393</v>
      </c>
      <c r="G120">
        <v>79.404608884200599</v>
      </c>
      <c r="H120">
        <v>30.128205128205099</v>
      </c>
      <c r="I120">
        <v>71.020194872968602</v>
      </c>
    </row>
    <row r="121" spans="1:9">
      <c r="A121" t="s">
        <v>368</v>
      </c>
      <c r="B121" t="s">
        <v>51</v>
      </c>
      <c r="C121">
        <v>228</v>
      </c>
      <c r="D121">
        <v>44</v>
      </c>
      <c r="E121">
        <v>3.2401284589188899</v>
      </c>
      <c r="F121">
        <v>85.622782481013502</v>
      </c>
      <c r="G121">
        <v>79.261878234608901</v>
      </c>
      <c r="H121">
        <v>28.205128205128201</v>
      </c>
      <c r="I121">
        <v>70.958799502634093</v>
      </c>
    </row>
    <row r="122" spans="1:9">
      <c r="A122" t="s">
        <v>369</v>
      </c>
      <c r="B122" t="s">
        <v>69</v>
      </c>
      <c r="C122">
        <v>1124</v>
      </c>
      <c r="D122">
        <v>57</v>
      </c>
      <c r="E122">
        <v>2.9525166855690799</v>
      </c>
      <c r="F122">
        <v>73.026941534442898</v>
      </c>
      <c r="G122">
        <v>72.226154297386103</v>
      </c>
      <c r="H122">
        <v>36.538461538461497</v>
      </c>
      <c r="I122">
        <v>65.328851916718193</v>
      </c>
    </row>
    <row r="123" spans="1:9">
      <c r="A123" t="s">
        <v>144</v>
      </c>
      <c r="B123" t="s">
        <v>98</v>
      </c>
      <c r="C123">
        <v>1038</v>
      </c>
      <c r="D123">
        <v>123</v>
      </c>
      <c r="E123">
        <v>3.79342979513497</v>
      </c>
      <c r="F123">
        <v>78.829685543944606</v>
      </c>
      <c r="G123">
        <v>92.797052439658202</v>
      </c>
      <c r="H123">
        <v>78.846153846153797</v>
      </c>
      <c r="I123">
        <v>85.816662652243295</v>
      </c>
    </row>
    <row r="124" spans="1:9">
      <c r="A124" t="s">
        <v>370</v>
      </c>
      <c r="B124" t="s">
        <v>69</v>
      </c>
      <c r="C124">
        <v>503</v>
      </c>
      <c r="D124">
        <v>64</v>
      </c>
      <c r="E124">
        <v>3.3318187495499898</v>
      </c>
      <c r="F124">
        <v>80.113306451943998</v>
      </c>
      <c r="G124">
        <v>81.504858642158197</v>
      </c>
      <c r="H124">
        <v>41.025641025641001</v>
      </c>
      <c r="I124">
        <v>72.991549461790498</v>
      </c>
    </row>
    <row r="125" spans="1:9">
      <c r="A125" t="s">
        <v>371</v>
      </c>
      <c r="B125" t="s">
        <v>69</v>
      </c>
      <c r="C125">
        <v>577</v>
      </c>
      <c r="D125">
        <v>41</v>
      </c>
      <c r="E125">
        <v>2.85839937715137</v>
      </c>
      <c r="F125">
        <v>76.971695332901405</v>
      </c>
      <c r="G125">
        <v>69.923802790599495</v>
      </c>
      <c r="H125">
        <v>26.282051282051199</v>
      </c>
      <c r="I125">
        <v>63.309820251580398</v>
      </c>
    </row>
    <row r="126" spans="1:9">
      <c r="A126" t="s">
        <v>372</v>
      </c>
      <c r="B126" t="s">
        <v>54</v>
      </c>
      <c r="C126">
        <v>172</v>
      </c>
      <c r="D126">
        <v>42</v>
      </c>
      <c r="E126">
        <v>3.0819750135945698</v>
      </c>
      <c r="F126">
        <v>82.457127792104203</v>
      </c>
      <c r="G126">
        <v>75.3930380683572</v>
      </c>
      <c r="H126">
        <v>26.923076923076898</v>
      </c>
      <c r="I126">
        <v>67.818272756425301</v>
      </c>
    </row>
    <row r="127" spans="1:9">
      <c r="A127" t="s">
        <v>373</v>
      </c>
      <c r="B127" t="s">
        <v>54</v>
      </c>
      <c r="C127">
        <v>435</v>
      </c>
      <c r="D127">
        <v>62</v>
      </c>
      <c r="E127">
        <v>3.4551695438644199</v>
      </c>
      <c r="F127">
        <v>83.718367794962703</v>
      </c>
      <c r="G127">
        <v>84.522336425231899</v>
      </c>
      <c r="H127">
        <v>39.743589743589702</v>
      </c>
      <c r="I127">
        <v>75.325396499822702</v>
      </c>
    </row>
    <row r="128" spans="1:9">
      <c r="A128" t="s">
        <v>374</v>
      </c>
      <c r="B128" t="s">
        <v>57</v>
      </c>
      <c r="C128">
        <v>128</v>
      </c>
      <c r="D128">
        <v>13</v>
      </c>
      <c r="E128">
        <v>2.12114350467309</v>
      </c>
      <c r="F128">
        <v>82.697285952356395</v>
      </c>
      <c r="G128">
        <v>51.888627354493003</v>
      </c>
      <c r="H128">
        <v>8.3333333333333304</v>
      </c>
      <c r="I128">
        <v>52.4201661296201</v>
      </c>
    </row>
    <row r="129" spans="1:9">
      <c r="A129" t="s">
        <v>375</v>
      </c>
      <c r="B129" t="s">
        <v>57</v>
      </c>
      <c r="C129">
        <v>1398</v>
      </c>
      <c r="D129">
        <v>79</v>
      </c>
      <c r="E129">
        <v>3.2786108175624502</v>
      </c>
      <c r="F129">
        <v>75.034899792003003</v>
      </c>
      <c r="G129">
        <v>80.203255733575205</v>
      </c>
      <c r="H129">
        <v>50.6410256410256</v>
      </c>
      <c r="I129">
        <v>72.740302932593593</v>
      </c>
    </row>
    <row r="130" spans="1:9">
      <c r="A130" t="s">
        <v>376</v>
      </c>
      <c r="B130" t="s">
        <v>263</v>
      </c>
      <c r="C130">
        <v>559</v>
      </c>
      <c r="D130">
        <v>29</v>
      </c>
      <c r="E130">
        <v>2.255241434467</v>
      </c>
      <c r="F130">
        <v>66.974853067069603</v>
      </c>
      <c r="G130">
        <v>55.169007721382698</v>
      </c>
      <c r="H130">
        <v>18.589743589743499</v>
      </c>
      <c r="I130">
        <v>51.394908498760898</v>
      </c>
    </row>
    <row r="131" spans="1:9">
      <c r="A131" t="s">
        <v>377</v>
      </c>
      <c r="B131" t="s">
        <v>263</v>
      </c>
      <c r="C131">
        <v>418</v>
      </c>
      <c r="D131">
        <v>17</v>
      </c>
      <c r="E131">
        <v>2.0247415118685899</v>
      </c>
      <c r="F131">
        <v>71.464491585721305</v>
      </c>
      <c r="G131">
        <v>49.530386589621003</v>
      </c>
      <c r="H131">
        <v>10.8974358974358</v>
      </c>
      <c r="I131">
        <v>48.384027950014101</v>
      </c>
    </row>
    <row r="132" spans="1:9">
      <c r="A132" t="s">
        <v>378</v>
      </c>
      <c r="B132" t="s">
        <v>63</v>
      </c>
      <c r="C132">
        <v>706</v>
      </c>
      <c r="D132">
        <v>50</v>
      </c>
      <c r="E132">
        <v>3.28298034228101</v>
      </c>
      <c r="F132">
        <v>83.920271883005199</v>
      </c>
      <c r="G132">
        <v>80.3101455500057</v>
      </c>
      <c r="H132">
        <v>32.051282051282001</v>
      </c>
      <c r="I132">
        <v>71.741410750160796</v>
      </c>
    </row>
    <row r="133" spans="1:9">
      <c r="A133" t="s">
        <v>379</v>
      </c>
      <c r="B133" t="s">
        <v>63</v>
      </c>
      <c r="C133">
        <v>1068</v>
      </c>
      <c r="D133">
        <v>51</v>
      </c>
      <c r="E133">
        <v>2.91938622421609</v>
      </c>
      <c r="F133">
        <v>74.250144765277398</v>
      </c>
      <c r="G133">
        <v>71.4156979753879</v>
      </c>
      <c r="H133">
        <v>32.692307692307601</v>
      </c>
      <c r="I133">
        <v>64.521353955738704</v>
      </c>
    </row>
    <row r="134" spans="1:9">
      <c r="A134" t="s">
        <v>152</v>
      </c>
      <c r="B134" t="s">
        <v>134</v>
      </c>
      <c r="C134">
        <v>1078</v>
      </c>
      <c r="D134">
        <v>42</v>
      </c>
      <c r="E134">
        <v>2.7307551613549901</v>
      </c>
      <c r="F134">
        <v>73.0603675615708</v>
      </c>
      <c r="G134">
        <v>66.801296872059297</v>
      </c>
      <c r="H134">
        <v>26.923076923076898</v>
      </c>
      <c r="I134">
        <v>60.703374089116203</v>
      </c>
    </row>
    <row r="135" spans="1:9">
      <c r="A135" t="s">
        <v>380</v>
      </c>
      <c r="B135" t="s">
        <v>51</v>
      </c>
      <c r="C135">
        <v>309</v>
      </c>
      <c r="D135">
        <v>43</v>
      </c>
      <c r="E135">
        <v>3.36320877433177</v>
      </c>
      <c r="F135">
        <v>89.418501299593899</v>
      </c>
      <c r="G135">
        <v>82.272739407868698</v>
      </c>
      <c r="H135">
        <v>27.564102564102502</v>
      </c>
      <c r="I135">
        <v>73.474740606633006</v>
      </c>
    </row>
    <row r="136" spans="1:9">
      <c r="A136" t="s">
        <v>381</v>
      </c>
      <c r="B136" t="s">
        <v>51</v>
      </c>
      <c r="C136">
        <v>338</v>
      </c>
      <c r="D136">
        <v>53</v>
      </c>
      <c r="E136">
        <v>3.3234675259204201</v>
      </c>
      <c r="F136">
        <v>83.708392185878196</v>
      </c>
      <c r="G136">
        <v>81.300566226338901</v>
      </c>
      <c r="H136">
        <v>33.9743589743589</v>
      </c>
      <c r="I136">
        <v>72.557672563804701</v>
      </c>
    </row>
    <row r="137" spans="1:9">
      <c r="A137" t="s">
        <v>382</v>
      </c>
      <c r="B137" t="s">
        <v>51</v>
      </c>
      <c r="C137">
        <v>286</v>
      </c>
      <c r="D137">
        <v>36</v>
      </c>
      <c r="E137">
        <v>2.97374934667035</v>
      </c>
      <c r="F137">
        <v>82.984055553827702</v>
      </c>
      <c r="G137">
        <v>72.745559814834905</v>
      </c>
      <c r="H137">
        <v>23.076923076922998</v>
      </c>
      <c r="I137">
        <v>65.883381188950395</v>
      </c>
    </row>
    <row r="138" spans="1:9">
      <c r="A138" t="s">
        <v>383</v>
      </c>
      <c r="B138" t="s">
        <v>263</v>
      </c>
      <c r="C138">
        <v>412</v>
      </c>
      <c r="D138">
        <v>12</v>
      </c>
      <c r="E138">
        <v>0.46638878595708</v>
      </c>
      <c r="F138">
        <v>18.7688654620836</v>
      </c>
      <c r="G138">
        <v>11.4090696190642</v>
      </c>
      <c r="H138">
        <v>7.6923076923076898</v>
      </c>
      <c r="I138">
        <v>12.873655986618701</v>
      </c>
    </row>
    <row r="139" spans="1:9">
      <c r="A139" t="s">
        <v>156</v>
      </c>
      <c r="B139" t="s">
        <v>263</v>
      </c>
      <c r="C139">
        <v>1672</v>
      </c>
      <c r="D139">
        <v>30</v>
      </c>
      <c r="E139">
        <v>2.46816006535468</v>
      </c>
      <c r="F139">
        <v>72.567386963837507</v>
      </c>
      <c r="G139">
        <v>60.377545225148801</v>
      </c>
      <c r="H139">
        <v>19.230769230769202</v>
      </c>
      <c r="I139">
        <v>55.805142547879498</v>
      </c>
    </row>
    <row r="140" spans="1:9">
      <c r="A140" t="s">
        <v>384</v>
      </c>
      <c r="B140" t="s">
        <v>54</v>
      </c>
      <c r="C140">
        <v>1985</v>
      </c>
      <c r="D140">
        <v>73</v>
      </c>
      <c r="E140">
        <v>2.8229421156671601</v>
      </c>
      <c r="F140">
        <v>65.795800062651793</v>
      </c>
      <c r="G140">
        <v>69.056426951052799</v>
      </c>
      <c r="H140">
        <v>46.794871794871703</v>
      </c>
      <c r="I140">
        <v>63.625927853296297</v>
      </c>
    </row>
    <row r="141" spans="1:9">
      <c r="A141" t="s">
        <v>385</v>
      </c>
      <c r="B141" t="s">
        <v>54</v>
      </c>
      <c r="C141">
        <v>2036</v>
      </c>
      <c r="D141">
        <v>114</v>
      </c>
      <c r="E141">
        <v>3.5167239338170302</v>
      </c>
      <c r="F141">
        <v>74.252039312439507</v>
      </c>
      <c r="G141">
        <v>86.028115169219404</v>
      </c>
      <c r="H141">
        <v>73.076923076922995</v>
      </c>
      <c r="I141">
        <v>79.905053993726199</v>
      </c>
    </row>
    <row r="142" spans="1:9">
      <c r="A142" t="s">
        <v>159</v>
      </c>
      <c r="B142" t="s">
        <v>63</v>
      </c>
      <c r="C142">
        <v>390</v>
      </c>
      <c r="D142">
        <v>11</v>
      </c>
      <c r="E142">
        <v>1.8974770441756901</v>
      </c>
      <c r="F142">
        <v>79.130938940520096</v>
      </c>
      <c r="G142">
        <v>46.417170286699502</v>
      </c>
      <c r="H142">
        <v>7.0512820512820502</v>
      </c>
      <c r="I142">
        <v>48.3581232357622</v>
      </c>
    </row>
    <row r="143" spans="1:9">
      <c r="A143" t="s">
        <v>386</v>
      </c>
      <c r="B143" t="s">
        <v>57</v>
      </c>
      <c r="C143">
        <v>483</v>
      </c>
      <c r="D143">
        <v>79</v>
      </c>
      <c r="E143">
        <v>3.38321452555294</v>
      </c>
      <c r="F143">
        <v>77.428879798685699</v>
      </c>
      <c r="G143">
        <v>82.762131553084203</v>
      </c>
      <c r="H143">
        <v>50.6410256410256</v>
      </c>
      <c r="I143">
        <v>74.737934844352907</v>
      </c>
    </row>
    <row r="144" spans="1:9">
      <c r="A144" t="s">
        <v>387</v>
      </c>
      <c r="B144" t="s">
        <v>57</v>
      </c>
      <c r="C144">
        <v>463</v>
      </c>
      <c r="D144">
        <v>59</v>
      </c>
      <c r="E144">
        <v>3.3203281398966999</v>
      </c>
      <c r="F144">
        <v>81.429740022602502</v>
      </c>
      <c r="G144">
        <v>81.223768767257098</v>
      </c>
      <c r="H144">
        <v>37.820512820512803</v>
      </c>
      <c r="I144">
        <v>72.604908954511899</v>
      </c>
    </row>
    <row r="145" spans="1:9">
      <c r="A145" t="s">
        <v>388</v>
      </c>
      <c r="B145" t="s">
        <v>57</v>
      </c>
      <c r="C145">
        <v>307</v>
      </c>
      <c r="D145">
        <v>51</v>
      </c>
      <c r="E145">
        <v>2.6778203276433299</v>
      </c>
      <c r="F145">
        <v>68.106283894077293</v>
      </c>
      <c r="G145">
        <v>65.506374649925306</v>
      </c>
      <c r="H145">
        <v>32.692307692307601</v>
      </c>
      <c r="I145">
        <v>59.723534031647397</v>
      </c>
    </row>
    <row r="146" spans="1:9">
      <c r="A146" t="s">
        <v>389</v>
      </c>
      <c r="B146" t="s">
        <v>69</v>
      </c>
      <c r="C146">
        <v>281</v>
      </c>
      <c r="D146">
        <v>31</v>
      </c>
      <c r="E146">
        <v>2.37814037979927</v>
      </c>
      <c r="F146">
        <v>69.253035558582695</v>
      </c>
      <c r="G146">
        <v>58.175432115846</v>
      </c>
      <c r="H146">
        <v>19.871794871794801</v>
      </c>
      <c r="I146">
        <v>53.837985699856702</v>
      </c>
    </row>
    <row r="147" spans="1:9">
      <c r="A147" t="s">
        <v>390</v>
      </c>
      <c r="B147" t="s">
        <v>134</v>
      </c>
      <c r="C147">
        <v>715</v>
      </c>
      <c r="D147">
        <v>77</v>
      </c>
      <c r="E147">
        <v>3.4607319118776299</v>
      </c>
      <c r="F147">
        <v>79.670509513770796</v>
      </c>
      <c r="G147">
        <v>84.658406257569993</v>
      </c>
      <c r="H147">
        <v>49.358974358974301</v>
      </c>
      <c r="I147">
        <v>76.102150854711098</v>
      </c>
    </row>
    <row r="148" spans="1:9">
      <c r="A148" t="s">
        <v>391</v>
      </c>
      <c r="B148" t="s">
        <v>98</v>
      </c>
      <c r="C148">
        <v>395</v>
      </c>
      <c r="D148">
        <v>20</v>
      </c>
      <c r="E148">
        <v>1.9641656645657499</v>
      </c>
      <c r="F148">
        <v>65.565460635625101</v>
      </c>
      <c r="G148">
        <v>48.048545516419502</v>
      </c>
      <c r="H148">
        <v>12.8205128205128</v>
      </c>
      <c r="I148">
        <v>46.258013512999803</v>
      </c>
    </row>
    <row r="149" spans="1:9">
      <c r="A149" t="s">
        <v>392</v>
      </c>
      <c r="B149" t="s">
        <v>51</v>
      </c>
      <c r="C149">
        <v>813</v>
      </c>
      <c r="D149">
        <v>78</v>
      </c>
      <c r="E149">
        <v>3.6873083856161002</v>
      </c>
      <c r="F149">
        <v>84.635180644327605</v>
      </c>
      <c r="G149">
        <v>90.201049736056603</v>
      </c>
      <c r="H149">
        <v>50</v>
      </c>
      <c r="I149">
        <v>80.491079061326602</v>
      </c>
    </row>
    <row r="150" spans="1:9">
      <c r="A150" t="s">
        <v>393</v>
      </c>
      <c r="B150" t="s">
        <v>51</v>
      </c>
      <c r="C150">
        <v>664</v>
      </c>
      <c r="D150">
        <v>106</v>
      </c>
      <c r="E150">
        <v>3.7173792817130802</v>
      </c>
      <c r="F150">
        <v>79.713258963895299</v>
      </c>
      <c r="G150">
        <v>90.936661220312303</v>
      </c>
      <c r="H150">
        <v>67.948717948717899</v>
      </c>
      <c r="I150">
        <v>82.972051889068297</v>
      </c>
    </row>
    <row r="151" spans="1:9">
      <c r="A151" t="s">
        <v>394</v>
      </c>
      <c r="B151" t="s">
        <v>98</v>
      </c>
      <c r="C151">
        <v>179</v>
      </c>
      <c r="D151">
        <v>29</v>
      </c>
      <c r="E151">
        <v>2.8447721435587199</v>
      </c>
      <c r="F151">
        <v>84.482394395687805</v>
      </c>
      <c r="G151">
        <v>69.5904455970839</v>
      </c>
      <c r="H151">
        <v>18.589743589743499</v>
      </c>
      <c r="I151">
        <v>63.857889835197</v>
      </c>
    </row>
    <row r="152" spans="1:9">
      <c r="A152" t="s">
        <v>164</v>
      </c>
      <c r="B152" t="s">
        <v>54</v>
      </c>
      <c r="C152">
        <v>698</v>
      </c>
      <c r="D152">
        <v>62</v>
      </c>
      <c r="E152">
        <v>3.4854824363545598</v>
      </c>
      <c r="F152">
        <v>84.452845756232506</v>
      </c>
      <c r="G152">
        <v>85.263867763867196</v>
      </c>
      <c r="H152">
        <v>39.743589743589702</v>
      </c>
      <c r="I152">
        <v>75.916505557521305</v>
      </c>
    </row>
    <row r="153" spans="1:9">
      <c r="A153" t="s">
        <v>395</v>
      </c>
      <c r="B153" t="s">
        <v>69</v>
      </c>
      <c r="C153">
        <v>1652</v>
      </c>
      <c r="D153">
        <v>84</v>
      </c>
      <c r="E153">
        <v>3.2162663193877901</v>
      </c>
      <c r="F153">
        <v>72.588564714014296</v>
      </c>
      <c r="G153">
        <v>78.678148909703594</v>
      </c>
      <c r="H153">
        <v>53.846153846153797</v>
      </c>
      <c r="I153">
        <v>71.884874638286803</v>
      </c>
    </row>
    <row r="154" spans="1:9">
      <c r="A154" t="s">
        <v>396</v>
      </c>
      <c r="B154" t="s">
        <v>98</v>
      </c>
      <c r="C154">
        <v>36</v>
      </c>
      <c r="D154">
        <v>9</v>
      </c>
      <c r="E154">
        <v>1.9040785442544901</v>
      </c>
      <c r="F154">
        <v>86.658349077948202</v>
      </c>
      <c r="G154">
        <v>46.578659962817497</v>
      </c>
      <c r="H154">
        <v>5.7692307692307603</v>
      </c>
      <c r="I154">
        <v>50.440680858639297</v>
      </c>
    </row>
    <row r="155" spans="1:9">
      <c r="A155" t="s">
        <v>397</v>
      </c>
      <c r="B155" t="s">
        <v>73</v>
      </c>
      <c r="C155">
        <v>156</v>
      </c>
      <c r="D155">
        <v>51</v>
      </c>
      <c r="E155">
        <v>3.54256132289989</v>
      </c>
      <c r="F155">
        <v>90.099654812140997</v>
      </c>
      <c r="G155">
        <v>86.660164180038507</v>
      </c>
      <c r="H155">
        <v>32.692307692307601</v>
      </c>
      <c r="I155">
        <v>76.898440072123094</v>
      </c>
    </row>
    <row r="156" spans="1:9">
      <c r="A156" t="s">
        <v>166</v>
      </c>
      <c r="B156" t="s">
        <v>108</v>
      </c>
      <c r="C156">
        <v>231</v>
      </c>
      <c r="D156">
        <v>29</v>
      </c>
      <c r="E156">
        <v>2.65268045982666</v>
      </c>
      <c r="F156">
        <v>78.777766901380701</v>
      </c>
      <c r="G156">
        <v>64.891388803844293</v>
      </c>
      <c r="H156">
        <v>18.589743589743499</v>
      </c>
      <c r="I156">
        <v>59.796973190285101</v>
      </c>
    </row>
    <row r="157" spans="1:9">
      <c r="A157" t="s">
        <v>167</v>
      </c>
      <c r="B157" t="s">
        <v>54</v>
      </c>
      <c r="C157">
        <v>355</v>
      </c>
      <c r="D157">
        <v>52</v>
      </c>
      <c r="E157">
        <v>3.2333468272061401</v>
      </c>
      <c r="F157">
        <v>81.831115909169398</v>
      </c>
      <c r="G157">
        <v>79.095982075285804</v>
      </c>
      <c r="H157">
        <v>33.3333333333333</v>
      </c>
      <c r="I157">
        <v>70.763992477060398</v>
      </c>
    </row>
    <row r="158" spans="1:9">
      <c r="A158" t="s">
        <v>398</v>
      </c>
      <c r="B158" t="s">
        <v>263</v>
      </c>
      <c r="C158">
        <v>1893</v>
      </c>
      <c r="D158">
        <v>126</v>
      </c>
      <c r="E158">
        <v>4.0878774652908998</v>
      </c>
      <c r="F158">
        <v>84.525210563411406</v>
      </c>
      <c r="G158">
        <v>100</v>
      </c>
      <c r="H158">
        <v>80.769230769230703</v>
      </c>
      <c r="I158">
        <v>91.511409322869596</v>
      </c>
    </row>
    <row r="159" spans="1:9">
      <c r="A159" t="s">
        <v>399</v>
      </c>
      <c r="B159" t="s">
        <v>134</v>
      </c>
      <c r="C159">
        <v>957</v>
      </c>
      <c r="D159">
        <v>71</v>
      </c>
      <c r="E159">
        <v>3.4132356163021398</v>
      </c>
      <c r="F159">
        <v>80.072529834711304</v>
      </c>
      <c r="G159">
        <v>83.496524670395004</v>
      </c>
      <c r="H159">
        <v>45.512820512820497</v>
      </c>
      <c r="I159">
        <v>74.872585388174997</v>
      </c>
    </row>
    <row r="160" spans="1:9">
      <c r="A160" t="s">
        <v>400</v>
      </c>
      <c r="B160" t="s">
        <v>63</v>
      </c>
      <c r="C160">
        <v>1039</v>
      </c>
      <c r="D160">
        <v>43</v>
      </c>
      <c r="E160">
        <v>2.9934971447278902</v>
      </c>
      <c r="F160">
        <v>79.588882607909198</v>
      </c>
      <c r="G160">
        <v>73.228641762012003</v>
      </c>
      <c r="H160">
        <v>27.564102564102502</v>
      </c>
      <c r="I160">
        <v>66.003806176199205</v>
      </c>
    </row>
    <row r="161" spans="1:9">
      <c r="A161" t="s">
        <v>401</v>
      </c>
      <c r="B161" t="s">
        <v>63</v>
      </c>
      <c r="C161">
        <v>2039</v>
      </c>
      <c r="D161">
        <v>59</v>
      </c>
      <c r="E161">
        <v>3.02441234490299</v>
      </c>
      <c r="F161">
        <v>74.172521687649294</v>
      </c>
      <c r="G161">
        <v>73.984907096224902</v>
      </c>
      <c r="H161">
        <v>37.820512820512803</v>
      </c>
      <c r="I161">
        <v>66.808312618509802</v>
      </c>
    </row>
    <row r="162" spans="1:9">
      <c r="A162" t="s">
        <v>402</v>
      </c>
      <c r="B162" t="s">
        <v>98</v>
      </c>
      <c r="C162">
        <v>51</v>
      </c>
      <c r="D162">
        <v>12</v>
      </c>
      <c r="E162">
        <v>1.9111331685941799</v>
      </c>
      <c r="F162">
        <v>76.909656495837993</v>
      </c>
      <c r="G162">
        <v>46.751234224144802</v>
      </c>
      <c r="H162">
        <v>7.6923076923076898</v>
      </c>
      <c r="I162">
        <v>47.986975599285302</v>
      </c>
    </row>
    <row r="163" spans="1:9">
      <c r="A163" t="s">
        <v>403</v>
      </c>
      <c r="B163" t="s">
        <v>134</v>
      </c>
      <c r="C163">
        <v>1352</v>
      </c>
      <c r="D163">
        <v>107</v>
      </c>
      <c r="E163">
        <v>3.9437350456477098</v>
      </c>
      <c r="F163">
        <v>84.397164658864597</v>
      </c>
      <c r="G163">
        <v>96.473905569159896</v>
      </c>
      <c r="H163">
        <v>68.589743589743506</v>
      </c>
      <c r="I163">
        <v>87.274050900188001</v>
      </c>
    </row>
    <row r="164" spans="1:9">
      <c r="A164" t="s">
        <v>404</v>
      </c>
      <c r="B164" t="s">
        <v>134</v>
      </c>
      <c r="C164">
        <v>896</v>
      </c>
      <c r="D164">
        <v>106</v>
      </c>
      <c r="E164">
        <v>4.0482551589545599</v>
      </c>
      <c r="F164">
        <v>86.808363468620897</v>
      </c>
      <c r="G164">
        <v>99.030736447636599</v>
      </c>
      <c r="H164">
        <v>67.948717948717899</v>
      </c>
      <c r="I164">
        <v>89.147620854148201</v>
      </c>
    </row>
    <row r="165" spans="1:9">
      <c r="A165" t="s">
        <v>405</v>
      </c>
      <c r="B165" t="s">
        <v>69</v>
      </c>
      <c r="C165">
        <v>532</v>
      </c>
      <c r="D165">
        <v>59</v>
      </c>
      <c r="E165">
        <v>3.6322394903436699</v>
      </c>
      <c r="F165">
        <v>89.079243055693098</v>
      </c>
      <c r="G165">
        <v>88.853922877680603</v>
      </c>
      <c r="H165">
        <v>37.820512820512803</v>
      </c>
      <c r="I165">
        <v>78.714836919650807</v>
      </c>
    </row>
    <row r="166" spans="1:9">
      <c r="A166" t="s">
        <v>406</v>
      </c>
      <c r="B166" t="s">
        <v>108</v>
      </c>
      <c r="C166">
        <v>1785</v>
      </c>
      <c r="D166">
        <v>140</v>
      </c>
      <c r="E166">
        <v>3.89850345465329</v>
      </c>
      <c r="F166">
        <v>78.890844809341601</v>
      </c>
      <c r="G166">
        <v>95.367424482618702</v>
      </c>
      <c r="H166">
        <v>89.743589743589695</v>
      </c>
      <c r="I166">
        <v>89.299683632829797</v>
      </c>
    </row>
    <row r="167" spans="1:9">
      <c r="A167" t="s">
        <v>407</v>
      </c>
      <c r="B167" t="s">
        <v>108</v>
      </c>
      <c r="C167">
        <v>1428</v>
      </c>
      <c r="D167">
        <v>100</v>
      </c>
      <c r="E167">
        <v>3.7599804488645101</v>
      </c>
      <c r="F167">
        <v>81.646938050298402</v>
      </c>
      <c r="G167">
        <v>91.9787953721587</v>
      </c>
      <c r="H167">
        <v>64.102564102564102</v>
      </c>
      <c r="I167">
        <v>83.3039919216817</v>
      </c>
    </row>
    <row r="168" spans="1:9">
      <c r="A168" t="s">
        <v>408</v>
      </c>
      <c r="B168" t="s">
        <v>108</v>
      </c>
      <c r="C168">
        <v>974</v>
      </c>
      <c r="D168">
        <v>103</v>
      </c>
      <c r="E168">
        <v>3.8569136441057199</v>
      </c>
      <c r="F168">
        <v>83.217673652564102</v>
      </c>
      <c r="G168">
        <v>94.350030715298203</v>
      </c>
      <c r="H168">
        <v>66.025641025640994</v>
      </c>
      <c r="I168">
        <v>85.345445658546495</v>
      </c>
    </row>
    <row r="169" spans="1:9">
      <c r="A169" t="s">
        <v>409</v>
      </c>
      <c r="B169" t="s">
        <v>108</v>
      </c>
      <c r="C169">
        <v>427</v>
      </c>
      <c r="D169">
        <v>69</v>
      </c>
      <c r="E169">
        <v>3.71163018504076</v>
      </c>
      <c r="F169">
        <v>87.660293405723095</v>
      </c>
      <c r="G169">
        <v>90.796023524561093</v>
      </c>
      <c r="H169">
        <v>44.230769230769198</v>
      </c>
      <c r="I169">
        <v>80.542253630151293</v>
      </c>
    </row>
    <row r="170" spans="1:9">
      <c r="A170" t="s">
        <v>410</v>
      </c>
      <c r="B170" t="s">
        <v>54</v>
      </c>
      <c r="C170">
        <v>215</v>
      </c>
      <c r="D170">
        <v>7</v>
      </c>
      <c r="E170">
        <v>0.54467234646935103</v>
      </c>
      <c r="F170">
        <v>27.9906215985242</v>
      </c>
      <c r="G170">
        <v>13.324086915374</v>
      </c>
      <c r="H170">
        <v>4.4871794871794801</v>
      </c>
      <c r="I170">
        <v>15.9566658346802</v>
      </c>
    </row>
    <row r="171" spans="1:9">
      <c r="A171" t="s">
        <v>411</v>
      </c>
      <c r="B171" t="s">
        <v>57</v>
      </c>
      <c r="C171">
        <v>1068</v>
      </c>
      <c r="D171">
        <v>65</v>
      </c>
      <c r="E171">
        <v>2.9948777371319699</v>
      </c>
      <c r="F171">
        <v>71.7441277844556</v>
      </c>
      <c r="G171">
        <v>73.262414604172804</v>
      </c>
      <c r="H171">
        <v>41.6666666666666</v>
      </c>
      <c r="I171">
        <v>66.487778970756395</v>
      </c>
    </row>
    <row r="172" spans="1:9">
      <c r="A172" t="s">
        <v>412</v>
      </c>
      <c r="B172" t="s">
        <v>108</v>
      </c>
      <c r="C172">
        <v>267</v>
      </c>
      <c r="D172">
        <v>46</v>
      </c>
      <c r="E172">
        <v>3.2386652673404801</v>
      </c>
      <c r="F172">
        <v>84.590457343703605</v>
      </c>
      <c r="G172">
        <v>79.2260848041347</v>
      </c>
      <c r="H172">
        <v>29.4871794871794</v>
      </c>
      <c r="I172">
        <v>70.887615502614295</v>
      </c>
    </row>
    <row r="173" spans="1:9">
      <c r="A173" t="s">
        <v>413</v>
      </c>
      <c r="B173" t="s">
        <v>57</v>
      </c>
      <c r="C173">
        <v>680</v>
      </c>
      <c r="D173">
        <v>67</v>
      </c>
      <c r="E173">
        <v>3.6158297834998701</v>
      </c>
      <c r="F173">
        <v>85.995103823394601</v>
      </c>
      <c r="G173">
        <v>88.452499229757507</v>
      </c>
      <c r="H173">
        <v>42.948717948717899</v>
      </c>
      <c r="I173">
        <v>78.614524351640696</v>
      </c>
    </row>
    <row r="174" spans="1:9">
      <c r="A174" t="s">
        <v>414</v>
      </c>
      <c r="B174" t="s">
        <v>263</v>
      </c>
      <c r="C174">
        <v>841</v>
      </c>
      <c r="D174">
        <v>30</v>
      </c>
      <c r="E174">
        <v>2.75881722146439</v>
      </c>
      <c r="F174">
        <v>81.113117290363306</v>
      </c>
      <c r="G174">
        <v>67.487767059770803</v>
      </c>
      <c r="H174">
        <v>19.230769230769202</v>
      </c>
      <c r="I174">
        <v>61.923972563148197</v>
      </c>
    </row>
    <row r="175" spans="1:9">
      <c r="A175" t="s">
        <v>415</v>
      </c>
      <c r="B175" t="s">
        <v>263</v>
      </c>
      <c r="C175">
        <v>1818</v>
      </c>
      <c r="D175">
        <v>57</v>
      </c>
      <c r="E175">
        <v>2.9259851159577002</v>
      </c>
      <c r="F175">
        <v>72.370715138738703</v>
      </c>
      <c r="G175">
        <v>71.5771238448676</v>
      </c>
      <c r="H175">
        <v>36.538461538461497</v>
      </c>
      <c r="I175">
        <v>64.807468771747693</v>
      </c>
    </row>
    <row r="176" spans="1:9">
      <c r="A176" t="s">
        <v>416</v>
      </c>
      <c r="B176" t="s">
        <v>263</v>
      </c>
      <c r="C176">
        <v>253</v>
      </c>
      <c r="D176">
        <v>12</v>
      </c>
      <c r="E176">
        <v>1.84562676636568</v>
      </c>
      <c r="F176">
        <v>74.273484942508603</v>
      </c>
      <c r="G176">
        <v>45.148779092240801</v>
      </c>
      <c r="H176">
        <v>7.6923076923076898</v>
      </c>
      <c r="I176">
        <v>46.394896567334499</v>
      </c>
    </row>
    <row r="177" spans="1:9">
      <c r="A177" t="s">
        <v>191</v>
      </c>
      <c r="B177" t="s">
        <v>108</v>
      </c>
      <c r="C177">
        <v>514</v>
      </c>
      <c r="D177">
        <v>83</v>
      </c>
      <c r="E177">
        <v>3.7290248378705901</v>
      </c>
      <c r="F177">
        <v>84.389213570887904</v>
      </c>
      <c r="G177">
        <v>91.221541485349405</v>
      </c>
      <c r="H177">
        <v>53.205128205128197</v>
      </c>
      <c r="I177">
        <v>81.5685604549667</v>
      </c>
    </row>
    <row r="178" spans="1:9">
      <c r="A178" t="s">
        <v>417</v>
      </c>
      <c r="B178" t="s">
        <v>108</v>
      </c>
      <c r="C178">
        <v>2252</v>
      </c>
      <c r="D178">
        <v>113</v>
      </c>
      <c r="E178">
        <v>3.5227708545462999</v>
      </c>
      <c r="F178">
        <v>74.518338449030495</v>
      </c>
      <c r="G178">
        <v>86.1760384076387</v>
      </c>
      <c r="H178">
        <v>72.435897435897402</v>
      </c>
      <c r="I178">
        <v>79.930700225707994</v>
      </c>
    </row>
    <row r="179" spans="1:9">
      <c r="A179" t="s">
        <v>418</v>
      </c>
      <c r="B179" t="s">
        <v>108</v>
      </c>
      <c r="C179">
        <v>1667</v>
      </c>
      <c r="D179">
        <v>71</v>
      </c>
      <c r="E179">
        <v>2.6429436283491698</v>
      </c>
      <c r="F179">
        <v>62.001926125956601</v>
      </c>
      <c r="G179">
        <v>64.653200855204602</v>
      </c>
      <c r="H179">
        <v>45.512820512820497</v>
      </c>
      <c r="I179">
        <v>60.029742367953403</v>
      </c>
    </row>
    <row r="180" spans="1:9">
      <c r="A180" t="s">
        <v>419</v>
      </c>
      <c r="B180" t="s">
        <v>69</v>
      </c>
      <c r="C180">
        <v>669</v>
      </c>
      <c r="D180">
        <v>35</v>
      </c>
      <c r="E180">
        <v>2.5984408629942299</v>
      </c>
      <c r="F180">
        <v>73.085414368844795</v>
      </c>
      <c r="G180">
        <v>63.564548718911098</v>
      </c>
      <c r="H180">
        <v>22.435897435897399</v>
      </c>
      <c r="I180">
        <v>58.195078157288499</v>
      </c>
    </row>
    <row r="181" spans="1:9">
      <c r="A181" t="s">
        <v>193</v>
      </c>
      <c r="B181" t="s">
        <v>54</v>
      </c>
      <c r="C181">
        <v>825</v>
      </c>
      <c r="D181">
        <v>118</v>
      </c>
      <c r="E181">
        <v>3.8675899557081399</v>
      </c>
      <c r="F181">
        <v>81.069914701002205</v>
      </c>
      <c r="G181">
        <v>94.611200764867206</v>
      </c>
      <c r="H181">
        <v>75.641025641025607</v>
      </c>
      <c r="I181">
        <v>86.754779920939399</v>
      </c>
    </row>
    <row r="182" spans="1:9">
      <c r="A182" t="s">
        <v>420</v>
      </c>
      <c r="B182" t="s">
        <v>98</v>
      </c>
      <c r="C182">
        <v>685</v>
      </c>
      <c r="D182">
        <v>50</v>
      </c>
      <c r="E182">
        <v>2.8243984069036299</v>
      </c>
      <c r="F182">
        <v>72.197898708280206</v>
      </c>
      <c r="G182">
        <v>69.092051581410004</v>
      </c>
      <c r="H182">
        <v>32.051282051282001</v>
      </c>
      <c r="I182">
        <v>62.615651813445503</v>
      </c>
    </row>
    <row r="183" spans="1:9">
      <c r="A183" t="s">
        <v>421</v>
      </c>
      <c r="B183" t="s">
        <v>57</v>
      </c>
      <c r="C183">
        <v>243</v>
      </c>
      <c r="D183">
        <v>13</v>
      </c>
      <c r="E183">
        <v>1.6042464877899201</v>
      </c>
      <c r="F183">
        <v>62.544957588464897</v>
      </c>
      <c r="G183">
        <v>39.243996460538597</v>
      </c>
      <c r="H183">
        <v>8.3333333333333304</v>
      </c>
      <c r="I183">
        <v>40.052152173475399</v>
      </c>
    </row>
    <row r="184" spans="1:9">
      <c r="A184" t="s">
        <v>422</v>
      </c>
      <c r="B184" t="s">
        <v>73</v>
      </c>
      <c r="C184">
        <v>59</v>
      </c>
      <c r="D184">
        <v>18</v>
      </c>
      <c r="E184">
        <v>2.30029471095393</v>
      </c>
      <c r="F184">
        <v>79.584735239326704</v>
      </c>
      <c r="G184">
        <v>56.271126776307099</v>
      </c>
      <c r="H184">
        <v>11.538461538461499</v>
      </c>
      <c r="I184">
        <v>54.318676267643902</v>
      </c>
    </row>
    <row r="185" spans="1:9">
      <c r="A185" t="s">
        <v>423</v>
      </c>
      <c r="B185" t="s">
        <v>73</v>
      </c>
      <c r="C185">
        <v>120</v>
      </c>
      <c r="D185">
        <v>26</v>
      </c>
      <c r="E185">
        <v>2.7450350857973298</v>
      </c>
      <c r="F185">
        <v>84.252724060297197</v>
      </c>
      <c r="G185">
        <v>67.150620562986703</v>
      </c>
      <c r="H185">
        <v>16.6666666666666</v>
      </c>
      <c r="I185">
        <v>62.184460832915804</v>
      </c>
    </row>
    <row r="186" spans="1:9">
      <c r="A186" t="s">
        <v>424</v>
      </c>
      <c r="B186" t="s">
        <v>54</v>
      </c>
      <c r="C186">
        <v>1472</v>
      </c>
      <c r="D186">
        <v>156</v>
      </c>
      <c r="E186">
        <v>4.0782045922580901</v>
      </c>
      <c r="F186">
        <v>80.758829289457907</v>
      </c>
      <c r="G186">
        <v>99.763376639467594</v>
      </c>
      <c r="H186">
        <v>100</v>
      </c>
      <c r="I186">
        <v>94.109337106571203</v>
      </c>
    </row>
    <row r="187" spans="1:9">
      <c r="A187" t="s">
        <v>197</v>
      </c>
      <c r="B187" t="s">
        <v>108</v>
      </c>
      <c r="C187">
        <v>795</v>
      </c>
      <c r="D187">
        <v>97</v>
      </c>
      <c r="E187">
        <v>3.8292376065265099</v>
      </c>
      <c r="F187">
        <v>83.704470610714907</v>
      </c>
      <c r="G187">
        <v>93.673003631825196</v>
      </c>
      <c r="H187">
        <v>62.179487179487097</v>
      </c>
      <c r="I187">
        <v>84.383740435024507</v>
      </c>
    </row>
    <row r="188" spans="1:9">
      <c r="A188" t="s">
        <v>425</v>
      </c>
      <c r="B188" t="s">
        <v>134</v>
      </c>
      <c r="C188">
        <v>1158</v>
      </c>
      <c r="D188">
        <v>83</v>
      </c>
      <c r="E188">
        <v>3.6532138166795698</v>
      </c>
      <c r="F188">
        <v>82.673582075665806</v>
      </c>
      <c r="G188">
        <v>89.367008862130703</v>
      </c>
      <c r="H188">
        <v>53.205128205128197</v>
      </c>
      <c r="I188">
        <v>80.1266046947907</v>
      </c>
    </row>
    <row r="189" spans="1:9">
      <c r="A189" t="s">
        <v>426</v>
      </c>
      <c r="B189" t="s">
        <v>57</v>
      </c>
      <c r="C189">
        <v>357</v>
      </c>
      <c r="D189">
        <v>42</v>
      </c>
      <c r="E189">
        <v>2.8652969656764302</v>
      </c>
      <c r="F189">
        <v>76.659984918420903</v>
      </c>
      <c r="G189">
        <v>70.092535551882705</v>
      </c>
      <c r="H189">
        <v>26.923076923076898</v>
      </c>
      <c r="I189">
        <v>63.428878636082999</v>
      </c>
    </row>
    <row r="190" spans="1:9">
      <c r="A190" t="s">
        <v>427</v>
      </c>
      <c r="B190" t="s">
        <v>134</v>
      </c>
      <c r="C190">
        <v>644</v>
      </c>
      <c r="D190">
        <v>73</v>
      </c>
      <c r="E190">
        <v>3.6126353744317501</v>
      </c>
      <c r="F190">
        <v>84.201597147945193</v>
      </c>
      <c r="G190">
        <v>88.374355765447703</v>
      </c>
      <c r="H190">
        <v>46.794871794871703</v>
      </c>
      <c r="I190">
        <v>78.806631386081804</v>
      </c>
    </row>
    <row r="191" spans="1:9">
      <c r="A191" t="s">
        <v>428</v>
      </c>
      <c r="B191" t="s">
        <v>134</v>
      </c>
      <c r="C191">
        <v>480</v>
      </c>
      <c r="D191">
        <v>35</v>
      </c>
      <c r="E191">
        <v>1.9480852634318</v>
      </c>
      <c r="F191">
        <v>54.793095633390998</v>
      </c>
      <c r="G191">
        <v>47.655177533389498</v>
      </c>
      <c r="H191">
        <v>22.435897435897399</v>
      </c>
      <c r="I191">
        <v>44.7526969438915</v>
      </c>
    </row>
    <row r="192" spans="1:9">
      <c r="A192" t="s">
        <v>429</v>
      </c>
      <c r="B192" t="s">
        <v>108</v>
      </c>
      <c r="C192">
        <v>189</v>
      </c>
      <c r="D192">
        <v>23</v>
      </c>
      <c r="E192">
        <v>1.9736798747694599</v>
      </c>
      <c r="F192">
        <v>62.946372688000601</v>
      </c>
      <c r="G192">
        <v>48.281287575947701</v>
      </c>
      <c r="H192">
        <v>14.7435897435897</v>
      </c>
      <c r="I192">
        <v>45.973273543091999</v>
      </c>
    </row>
    <row r="193" spans="1:9">
      <c r="A193" t="s">
        <v>430</v>
      </c>
      <c r="B193" t="s">
        <v>98</v>
      </c>
      <c r="C193">
        <v>474</v>
      </c>
      <c r="D193">
        <v>17</v>
      </c>
      <c r="E193">
        <v>1.6665634012728101</v>
      </c>
      <c r="F193">
        <v>58.822375828812604</v>
      </c>
      <c r="G193">
        <v>40.7684284918804</v>
      </c>
      <c r="H193">
        <v>10.8974358974358</v>
      </c>
      <c r="I193">
        <v>40.210414174071097</v>
      </c>
    </row>
    <row r="194" spans="1:9">
      <c r="A194" t="s">
        <v>431</v>
      </c>
      <c r="B194" t="s">
        <v>51</v>
      </c>
      <c r="C194">
        <v>2105</v>
      </c>
      <c r="D194">
        <v>102</v>
      </c>
      <c r="E194">
        <v>3.5058766568347002</v>
      </c>
      <c r="F194">
        <v>75.803184113100201</v>
      </c>
      <c r="G194">
        <v>85.762762866602102</v>
      </c>
      <c r="H194">
        <v>65.384615384615302</v>
      </c>
      <c r="I194">
        <v>78.699259744154205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619384-a3cb-44a0-974d-d391ef3f6fbf" xsi:nil="true"/>
    <lcf76f155ced4ddcb4097134ff3c332f xmlns="717751c9-92be-421d-b9ff-cc4bda1958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7426BE53C20646823F69485C9FC859" ma:contentTypeVersion="19" ma:contentTypeDescription="Create a new document." ma:contentTypeScope="" ma:versionID="25a700eda41861d25b33f7682e65c491">
  <xsd:schema xmlns:xsd="http://www.w3.org/2001/XMLSchema" xmlns:xs="http://www.w3.org/2001/XMLSchema" xmlns:p="http://schemas.microsoft.com/office/2006/metadata/properties" xmlns:ns2="717751c9-92be-421d-b9ff-cc4bda19584f" xmlns:ns3="b3619384-a3cb-44a0-974d-d391ef3f6fbf" targetNamespace="http://schemas.microsoft.com/office/2006/metadata/properties" ma:root="true" ma:fieldsID="ab230dec0fac240bb6201839428da08a" ns2:_="" ns3:_="">
    <xsd:import namespace="717751c9-92be-421d-b9ff-cc4bda19584f"/>
    <xsd:import namespace="b3619384-a3cb-44a0-974d-d391ef3f6f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751c9-92be-421d-b9ff-cc4bda195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f80264a-99e7-47cd-820c-3e92ce78c5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19384-a3cb-44a0-974d-d391ef3f6fb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bba602-e59f-4b35-9b67-38043475fc6c}" ma:internalName="TaxCatchAll" ma:showField="CatchAllData" ma:web="b3619384-a3cb-44a0-974d-d391ef3f6f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167F34-9880-4224-8134-CEFD6A2F37B6}"/>
</file>

<file path=customXml/itemProps2.xml><?xml version="1.0" encoding="utf-8"?>
<ds:datastoreItem xmlns:ds="http://schemas.openxmlformats.org/officeDocument/2006/customXml" ds:itemID="{2937A4DF-095A-41A9-B9F1-BB972059AEEC}"/>
</file>

<file path=customXml/itemProps3.xml><?xml version="1.0" encoding="utf-8"?>
<ds:datastoreItem xmlns:ds="http://schemas.openxmlformats.org/officeDocument/2006/customXml" ds:itemID="{A567B069-B83E-45A0-8E61-D85B89808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Prinsze, Cas</dc:creator>
  <cp:keywords/>
  <dc:description/>
  <cp:lastModifiedBy>Prinsze, Cas</cp:lastModifiedBy>
  <cp:revision/>
  <dcterms:created xsi:type="dcterms:W3CDTF">2026-03-15T10:48:30Z</dcterms:created>
  <dcterms:modified xsi:type="dcterms:W3CDTF">2026-04-07T12:13:26Z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0x0101005E7426BE53C20646823F69485C9FC859</vt:lpwstr>
  </property>
  <property fmtid="{D5CDD505-2E9C-101B-9397-08002B2CF9AE}" pid="3" name="MediaServiceImageTags">
    <vt:lpwstr/>
  </property>
</Properties>
</file>